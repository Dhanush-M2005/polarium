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AOR\Downloads\"/>
    </mc:Choice>
  </mc:AlternateContent>
  <xr:revisionPtr revIDLastSave="0" documentId="8_{401D34D6-199C-422D-94B2-E07AF09E31B7}" xr6:coauthVersionLast="47" xr6:coauthVersionMax="47" xr10:uidLastSave="{00000000-0000-0000-0000-000000000000}"/>
  <bookViews>
    <workbookView xWindow="-103" yWindow="-103" windowWidth="33120" windowHeight="18120" xr2:uid="{F458F5AA-F6BE-4DA0-84FC-8B5EFF008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94" i="1" l="1"/>
  <c r="E1293" i="1"/>
  <c r="I1292" i="1"/>
  <c r="I1291" i="1"/>
  <c r="E1291" i="1"/>
  <c r="I1290" i="1"/>
  <c r="E1290" i="1"/>
  <c r="I1289" i="1"/>
  <c r="E1289" i="1"/>
  <c r="J1287" i="1"/>
  <c r="L1287" i="1" s="1"/>
  <c r="D1287" i="1"/>
  <c r="J1286" i="1"/>
  <c r="L1286" i="1" s="1"/>
  <c r="D1286" i="1"/>
  <c r="J1285" i="1"/>
  <c r="L1285" i="1" s="1"/>
  <c r="D1285" i="1"/>
  <c r="J1284" i="1"/>
  <c r="L1284" i="1" s="1"/>
  <c r="D1284" i="1"/>
  <c r="J1283" i="1"/>
  <c r="L1283" i="1" s="1"/>
  <c r="D1283" i="1"/>
  <c r="J1282" i="1"/>
  <c r="L1282" i="1" s="1"/>
  <c r="D1282" i="1"/>
  <c r="J1281" i="1"/>
  <c r="L1281" i="1" s="1"/>
  <c r="D1281" i="1"/>
  <c r="J1280" i="1"/>
  <c r="L1280" i="1" s="1"/>
  <c r="D1280" i="1"/>
  <c r="J1279" i="1"/>
  <c r="L1279" i="1" s="1"/>
  <c r="D1279" i="1"/>
  <c r="J1278" i="1"/>
  <c r="L1278" i="1" s="1"/>
  <c r="D1278" i="1"/>
  <c r="J1277" i="1"/>
  <c r="L1277" i="1" s="1"/>
  <c r="D1277" i="1"/>
  <c r="J1276" i="1"/>
  <c r="L1276" i="1" s="1"/>
  <c r="D1276" i="1"/>
  <c r="J1275" i="1"/>
  <c r="L1275" i="1" s="1"/>
  <c r="D1275" i="1"/>
  <c r="J1274" i="1"/>
  <c r="L1274" i="1" s="1"/>
  <c r="D1274" i="1"/>
  <c r="J1273" i="1"/>
  <c r="L1273" i="1" s="1"/>
  <c r="D1273" i="1"/>
  <c r="J1272" i="1"/>
  <c r="L1272" i="1" s="1"/>
  <c r="D1272" i="1"/>
  <c r="J1271" i="1"/>
  <c r="L1271" i="1" s="1"/>
  <c r="D1271" i="1"/>
  <c r="J1270" i="1"/>
  <c r="L1270" i="1" s="1"/>
  <c r="D1270" i="1"/>
  <c r="J1269" i="1"/>
  <c r="L1269" i="1" s="1"/>
  <c r="D1269" i="1"/>
  <c r="L1268" i="1"/>
  <c r="J1268" i="1"/>
  <c r="D1268" i="1"/>
  <c r="L1267" i="1"/>
  <c r="J1267" i="1"/>
  <c r="D1267" i="1"/>
  <c r="J1266" i="1"/>
  <c r="L1266" i="1" s="1"/>
  <c r="D1266" i="1"/>
  <c r="J1265" i="1"/>
  <c r="L1265" i="1" s="1"/>
  <c r="D1265" i="1"/>
  <c r="J1264" i="1"/>
  <c r="L1264" i="1" s="1"/>
  <c r="D1264" i="1"/>
  <c r="J1263" i="1"/>
  <c r="L1263" i="1" s="1"/>
  <c r="D1263" i="1"/>
  <c r="J1262" i="1"/>
  <c r="L1262" i="1" s="1"/>
  <c r="D1262" i="1"/>
  <c r="J1261" i="1"/>
  <c r="L1261" i="1" s="1"/>
  <c r="D1261" i="1"/>
  <c r="J1260" i="1"/>
  <c r="L1260" i="1" s="1"/>
  <c r="D1260" i="1"/>
  <c r="J1259" i="1"/>
  <c r="L1259" i="1" s="1"/>
  <c r="D1259" i="1"/>
  <c r="J1258" i="1"/>
  <c r="L1258" i="1" s="1"/>
  <c r="D1258" i="1"/>
  <c r="L1257" i="1"/>
  <c r="J1257" i="1"/>
  <c r="D1257" i="1"/>
  <c r="J1256" i="1"/>
  <c r="L1256" i="1" s="1"/>
  <c r="D1256" i="1"/>
  <c r="J1255" i="1"/>
  <c r="L1255" i="1" s="1"/>
  <c r="D1255" i="1"/>
  <c r="J1254" i="1"/>
  <c r="L1254" i="1" s="1"/>
  <c r="D1254" i="1"/>
  <c r="J1253" i="1"/>
  <c r="L1253" i="1" s="1"/>
  <c r="D1253" i="1"/>
  <c r="L1252" i="1"/>
  <c r="J1252" i="1"/>
  <c r="D1252" i="1"/>
  <c r="L1251" i="1"/>
  <c r="J1251" i="1"/>
  <c r="D1251" i="1"/>
  <c r="J1250" i="1"/>
  <c r="L1250" i="1" s="1"/>
  <c r="D1250" i="1"/>
  <c r="J1249" i="1"/>
  <c r="L1249" i="1" s="1"/>
  <c r="D1249" i="1"/>
  <c r="J1248" i="1"/>
  <c r="L1248" i="1" s="1"/>
  <c r="D1248" i="1"/>
  <c r="J1247" i="1"/>
  <c r="L1247" i="1" s="1"/>
  <c r="D1247" i="1"/>
  <c r="J1246" i="1"/>
  <c r="L1246" i="1" s="1"/>
  <c r="D1246" i="1"/>
  <c r="J1245" i="1"/>
  <c r="L1245" i="1" s="1"/>
  <c r="D1245" i="1"/>
  <c r="J1244" i="1"/>
  <c r="L1244" i="1" s="1"/>
  <c r="D1244" i="1"/>
  <c r="J1243" i="1"/>
  <c r="L1243" i="1" s="1"/>
  <c r="D1243" i="1"/>
  <c r="J1242" i="1"/>
  <c r="L1242" i="1" s="1"/>
  <c r="D1242" i="1"/>
  <c r="J1241" i="1"/>
  <c r="L1241" i="1" s="1"/>
  <c r="D1241" i="1"/>
  <c r="J1240" i="1"/>
  <c r="L1240" i="1" s="1"/>
  <c r="D1240" i="1"/>
  <c r="J1239" i="1"/>
  <c r="L1239" i="1" s="1"/>
  <c r="D1239" i="1"/>
  <c r="J1238" i="1"/>
  <c r="L1238" i="1" s="1"/>
  <c r="D1238" i="1"/>
  <c r="J1237" i="1"/>
  <c r="L1237" i="1" s="1"/>
  <c r="D1237" i="1"/>
  <c r="J1236" i="1"/>
  <c r="L1236" i="1" s="1"/>
  <c r="D1236" i="1"/>
  <c r="J1235" i="1"/>
  <c r="L1235" i="1" s="1"/>
  <c r="D1235" i="1"/>
  <c r="J1234" i="1"/>
  <c r="L1234" i="1" s="1"/>
  <c r="D1234" i="1"/>
  <c r="J1233" i="1"/>
  <c r="L1233" i="1" s="1"/>
  <c r="D1233" i="1"/>
  <c r="J1232" i="1"/>
  <c r="L1232" i="1" s="1"/>
  <c r="D1232" i="1"/>
  <c r="L1231" i="1"/>
  <c r="J1231" i="1"/>
  <c r="D1231" i="1"/>
  <c r="J1230" i="1"/>
  <c r="L1230" i="1" s="1"/>
  <c r="D1230" i="1"/>
  <c r="J1229" i="1"/>
  <c r="L1229" i="1" s="1"/>
  <c r="D1229" i="1"/>
  <c r="J1228" i="1"/>
  <c r="L1228" i="1" s="1"/>
  <c r="D1228" i="1"/>
  <c r="J1227" i="1"/>
  <c r="L1227" i="1" s="1"/>
  <c r="D1227" i="1"/>
  <c r="J1226" i="1"/>
  <c r="L1226" i="1" s="1"/>
  <c r="D1226" i="1"/>
  <c r="J1225" i="1"/>
  <c r="L1225" i="1" s="1"/>
  <c r="D1225" i="1"/>
  <c r="J1224" i="1"/>
  <c r="L1224" i="1" s="1"/>
  <c r="D1224" i="1"/>
  <c r="J1223" i="1"/>
  <c r="L1223" i="1" s="1"/>
  <c r="D1223" i="1"/>
  <c r="J1222" i="1"/>
  <c r="L1222" i="1" s="1"/>
  <c r="D1222" i="1"/>
  <c r="J1221" i="1"/>
  <c r="L1221" i="1" s="1"/>
  <c r="D1221" i="1"/>
  <c r="J1220" i="1"/>
  <c r="L1220" i="1" s="1"/>
  <c r="D1220" i="1"/>
  <c r="J1219" i="1"/>
  <c r="L1219" i="1" s="1"/>
  <c r="D1219" i="1"/>
  <c r="J1218" i="1"/>
  <c r="L1218" i="1" s="1"/>
  <c r="D1218" i="1"/>
  <c r="J1217" i="1"/>
  <c r="L1217" i="1" s="1"/>
  <c r="D1217" i="1"/>
  <c r="J1216" i="1"/>
  <c r="L1216" i="1" s="1"/>
  <c r="D1216" i="1"/>
  <c r="L1215" i="1"/>
  <c r="J1215" i="1"/>
  <c r="D1215" i="1"/>
  <c r="J1214" i="1"/>
  <c r="L1214" i="1" s="1"/>
  <c r="D1214" i="1"/>
  <c r="J1213" i="1"/>
  <c r="L1213" i="1" s="1"/>
  <c r="D1213" i="1"/>
  <c r="J1212" i="1"/>
  <c r="L1212" i="1" s="1"/>
  <c r="D1212" i="1"/>
  <c r="J1211" i="1"/>
  <c r="L1211" i="1" s="1"/>
  <c r="D1211" i="1"/>
  <c r="J1210" i="1"/>
  <c r="L1210" i="1" s="1"/>
  <c r="D1210" i="1"/>
  <c r="L1209" i="1"/>
  <c r="J1209" i="1"/>
  <c r="D1209" i="1"/>
  <c r="J1208" i="1"/>
  <c r="L1208" i="1" s="1"/>
  <c r="D1208" i="1"/>
  <c r="J1207" i="1"/>
  <c r="L1207" i="1" s="1"/>
  <c r="D1207" i="1"/>
  <c r="J1206" i="1"/>
  <c r="L1206" i="1" s="1"/>
  <c r="D1206" i="1"/>
  <c r="J1205" i="1"/>
  <c r="L1205" i="1" s="1"/>
  <c r="D1205" i="1"/>
  <c r="J1204" i="1"/>
  <c r="L1204" i="1" s="1"/>
  <c r="D1204" i="1"/>
  <c r="J1203" i="1"/>
  <c r="L1203" i="1" s="1"/>
  <c r="D1203" i="1"/>
  <c r="J1202" i="1"/>
  <c r="L1202" i="1" s="1"/>
  <c r="D1202" i="1"/>
  <c r="J1201" i="1"/>
  <c r="L1201" i="1" s="1"/>
  <c r="D1201" i="1"/>
  <c r="J1200" i="1"/>
  <c r="L1200" i="1" s="1"/>
  <c r="D1200" i="1"/>
  <c r="J1199" i="1"/>
  <c r="L1199" i="1" s="1"/>
  <c r="D1199" i="1"/>
  <c r="J1198" i="1"/>
  <c r="L1198" i="1" s="1"/>
  <c r="D1198" i="1"/>
  <c r="J1197" i="1"/>
  <c r="L1197" i="1" s="1"/>
  <c r="D1197" i="1"/>
  <c r="J1196" i="1"/>
  <c r="L1196" i="1" s="1"/>
  <c r="D1196" i="1"/>
  <c r="J1195" i="1"/>
  <c r="L1195" i="1" s="1"/>
  <c r="D1195" i="1"/>
  <c r="J1194" i="1"/>
  <c r="L1194" i="1" s="1"/>
  <c r="D1194" i="1"/>
  <c r="J1193" i="1"/>
  <c r="L1193" i="1" s="1"/>
  <c r="D1193" i="1"/>
  <c r="J1192" i="1"/>
  <c r="L1192" i="1" s="1"/>
  <c r="D1192" i="1"/>
  <c r="J1191" i="1"/>
  <c r="L1191" i="1" s="1"/>
  <c r="D1191" i="1"/>
  <c r="J1190" i="1"/>
  <c r="L1190" i="1" s="1"/>
  <c r="D1190" i="1"/>
  <c r="J1189" i="1"/>
  <c r="L1189" i="1" s="1"/>
  <c r="D1189" i="1"/>
  <c r="J1188" i="1"/>
  <c r="L1188" i="1" s="1"/>
  <c r="D1188" i="1"/>
  <c r="J1187" i="1"/>
  <c r="L1187" i="1" s="1"/>
  <c r="D1187" i="1"/>
  <c r="J1186" i="1"/>
  <c r="L1186" i="1" s="1"/>
  <c r="D1186" i="1"/>
  <c r="J1185" i="1"/>
  <c r="L1185" i="1" s="1"/>
  <c r="D1185" i="1"/>
  <c r="J1184" i="1"/>
  <c r="L1184" i="1" s="1"/>
  <c r="D1184" i="1"/>
  <c r="J1183" i="1"/>
  <c r="L1183" i="1" s="1"/>
  <c r="D1183" i="1"/>
  <c r="J1182" i="1"/>
  <c r="L1182" i="1" s="1"/>
  <c r="D1182" i="1"/>
  <c r="J1181" i="1"/>
  <c r="L1181" i="1" s="1"/>
  <c r="D1181" i="1"/>
  <c r="J1180" i="1"/>
  <c r="L1180" i="1" s="1"/>
  <c r="D1180" i="1"/>
  <c r="J1179" i="1"/>
  <c r="L1179" i="1" s="1"/>
  <c r="D1179" i="1"/>
  <c r="J1178" i="1"/>
  <c r="L1178" i="1" s="1"/>
  <c r="D1178" i="1"/>
  <c r="J1177" i="1"/>
  <c r="L1177" i="1" s="1"/>
  <c r="D1177" i="1"/>
  <c r="J1176" i="1"/>
  <c r="L1176" i="1" s="1"/>
  <c r="D1176" i="1"/>
  <c r="J1175" i="1"/>
  <c r="L1175" i="1" s="1"/>
  <c r="D1175" i="1"/>
  <c r="J1174" i="1"/>
  <c r="L1174" i="1" s="1"/>
  <c r="D1174" i="1"/>
  <c r="J1173" i="1"/>
  <c r="L1173" i="1" s="1"/>
  <c r="D1173" i="1"/>
  <c r="J1172" i="1"/>
  <c r="L1172" i="1" s="1"/>
  <c r="D1172" i="1"/>
  <c r="J1171" i="1"/>
  <c r="L1171" i="1" s="1"/>
  <c r="D1171" i="1"/>
  <c r="L1170" i="1"/>
  <c r="J1170" i="1"/>
  <c r="D1170" i="1"/>
  <c r="J1169" i="1"/>
  <c r="L1169" i="1" s="1"/>
  <c r="D1169" i="1"/>
  <c r="J1168" i="1"/>
  <c r="L1168" i="1" s="1"/>
  <c r="D1168" i="1"/>
  <c r="J1167" i="1"/>
  <c r="L1167" i="1" s="1"/>
  <c r="D1167" i="1"/>
  <c r="J1166" i="1"/>
  <c r="L1166" i="1" s="1"/>
  <c r="D1166" i="1"/>
  <c r="J1165" i="1"/>
  <c r="L1165" i="1" s="1"/>
  <c r="D1165" i="1"/>
  <c r="J1164" i="1"/>
  <c r="L1164" i="1" s="1"/>
  <c r="D1164" i="1"/>
  <c r="J1163" i="1"/>
  <c r="L1163" i="1" s="1"/>
  <c r="D1163" i="1"/>
  <c r="J1162" i="1"/>
  <c r="L1162" i="1" s="1"/>
  <c r="D1162" i="1"/>
  <c r="J1161" i="1"/>
  <c r="L1161" i="1" s="1"/>
  <c r="D1161" i="1"/>
  <c r="J1160" i="1"/>
  <c r="L1160" i="1" s="1"/>
  <c r="D1160" i="1"/>
  <c r="J1159" i="1"/>
  <c r="L1159" i="1" s="1"/>
  <c r="D1159" i="1"/>
  <c r="J1158" i="1"/>
  <c r="L1158" i="1" s="1"/>
  <c r="D1158" i="1"/>
  <c r="J1157" i="1"/>
  <c r="L1157" i="1" s="1"/>
  <c r="D1157" i="1"/>
  <c r="J1156" i="1"/>
  <c r="L1156" i="1" s="1"/>
  <c r="D1156" i="1"/>
  <c r="J1155" i="1"/>
  <c r="L1155" i="1" s="1"/>
  <c r="D1155" i="1"/>
  <c r="J1154" i="1"/>
  <c r="L1154" i="1" s="1"/>
  <c r="D1154" i="1"/>
  <c r="J1153" i="1"/>
  <c r="L1153" i="1" s="1"/>
  <c r="D1153" i="1"/>
  <c r="J1152" i="1"/>
  <c r="L1152" i="1" s="1"/>
  <c r="D1152" i="1"/>
  <c r="J1151" i="1"/>
  <c r="L1151" i="1" s="1"/>
  <c r="D1151" i="1"/>
  <c r="J1150" i="1"/>
  <c r="L1150" i="1" s="1"/>
  <c r="D1150" i="1"/>
  <c r="J1149" i="1"/>
  <c r="L1149" i="1" s="1"/>
  <c r="D1149" i="1"/>
  <c r="J1148" i="1"/>
  <c r="L1148" i="1" s="1"/>
  <c r="D1148" i="1"/>
  <c r="J1147" i="1"/>
  <c r="L1147" i="1" s="1"/>
  <c r="D1147" i="1"/>
  <c r="J1146" i="1"/>
  <c r="L1146" i="1" s="1"/>
  <c r="D1146" i="1"/>
  <c r="J1145" i="1"/>
  <c r="L1145" i="1" s="1"/>
  <c r="D1145" i="1"/>
  <c r="J1144" i="1"/>
  <c r="L1144" i="1" s="1"/>
  <c r="D1144" i="1"/>
  <c r="J1143" i="1"/>
  <c r="L1143" i="1" s="1"/>
  <c r="D1143" i="1"/>
  <c r="J1142" i="1"/>
  <c r="L1142" i="1" s="1"/>
  <c r="D1142" i="1"/>
  <c r="J1141" i="1"/>
  <c r="L1141" i="1" s="1"/>
  <c r="D1141" i="1"/>
  <c r="J1140" i="1"/>
  <c r="L1140" i="1" s="1"/>
  <c r="D1140" i="1"/>
  <c r="J1139" i="1"/>
  <c r="L1139" i="1" s="1"/>
  <c r="D1139" i="1"/>
  <c r="J1138" i="1"/>
  <c r="L1138" i="1" s="1"/>
  <c r="D1138" i="1"/>
  <c r="J1137" i="1"/>
  <c r="L1137" i="1" s="1"/>
  <c r="D1137" i="1"/>
  <c r="J1136" i="1"/>
  <c r="L1136" i="1" s="1"/>
  <c r="D1136" i="1"/>
  <c r="J1135" i="1"/>
  <c r="L1135" i="1" s="1"/>
  <c r="D1135" i="1"/>
  <c r="J1134" i="1"/>
  <c r="L1134" i="1" s="1"/>
  <c r="D1134" i="1"/>
  <c r="J1133" i="1"/>
  <c r="L1133" i="1" s="1"/>
  <c r="D1133" i="1"/>
  <c r="L1132" i="1"/>
  <c r="J1132" i="1"/>
  <c r="D1132" i="1"/>
  <c r="J1131" i="1"/>
  <c r="L1131" i="1" s="1"/>
  <c r="D1131" i="1"/>
  <c r="J1130" i="1"/>
  <c r="L1130" i="1" s="1"/>
  <c r="D1130" i="1"/>
  <c r="J1129" i="1"/>
  <c r="L1129" i="1" s="1"/>
  <c r="D1129" i="1"/>
  <c r="J1128" i="1"/>
  <c r="L1128" i="1" s="1"/>
  <c r="D1128" i="1"/>
  <c r="J1127" i="1"/>
  <c r="L1127" i="1" s="1"/>
  <c r="D1127" i="1"/>
  <c r="J1126" i="1"/>
  <c r="L1126" i="1" s="1"/>
  <c r="D1126" i="1"/>
  <c r="J1125" i="1"/>
  <c r="L1125" i="1" s="1"/>
  <c r="D1125" i="1"/>
  <c r="J1124" i="1"/>
  <c r="L1124" i="1" s="1"/>
  <c r="D1124" i="1"/>
  <c r="J1123" i="1"/>
  <c r="L1123" i="1" s="1"/>
  <c r="D1123" i="1"/>
  <c r="J1122" i="1"/>
  <c r="L1122" i="1" s="1"/>
  <c r="D1122" i="1"/>
  <c r="J1121" i="1"/>
  <c r="L1121" i="1" s="1"/>
  <c r="D1121" i="1"/>
  <c r="J1120" i="1"/>
  <c r="L1120" i="1" s="1"/>
  <c r="D1120" i="1"/>
  <c r="L1119" i="1"/>
  <c r="J1119" i="1"/>
  <c r="D1119" i="1"/>
  <c r="J1118" i="1"/>
  <c r="L1118" i="1" s="1"/>
  <c r="D1118" i="1"/>
  <c r="J1117" i="1"/>
  <c r="L1117" i="1" s="1"/>
  <c r="D1117" i="1"/>
  <c r="J1116" i="1"/>
  <c r="L1116" i="1" s="1"/>
  <c r="D1116" i="1"/>
  <c r="J1115" i="1"/>
  <c r="L1115" i="1" s="1"/>
  <c r="D1115" i="1"/>
  <c r="J1114" i="1"/>
  <c r="L1114" i="1" s="1"/>
  <c r="D1114" i="1"/>
  <c r="J1113" i="1"/>
  <c r="L1113" i="1" s="1"/>
  <c r="D1113" i="1"/>
  <c r="J1112" i="1"/>
  <c r="L1112" i="1" s="1"/>
  <c r="D1112" i="1"/>
  <c r="J1111" i="1"/>
  <c r="L1111" i="1" s="1"/>
  <c r="D1111" i="1"/>
  <c r="J1110" i="1"/>
  <c r="L1110" i="1" s="1"/>
  <c r="D1110" i="1"/>
  <c r="J1109" i="1"/>
  <c r="L1109" i="1" s="1"/>
  <c r="D1109" i="1"/>
  <c r="J1108" i="1"/>
  <c r="L1108" i="1" s="1"/>
  <c r="D1108" i="1"/>
  <c r="J1107" i="1"/>
  <c r="L1107" i="1" s="1"/>
  <c r="D1107" i="1"/>
  <c r="J1106" i="1"/>
  <c r="L1106" i="1" s="1"/>
  <c r="D1106" i="1"/>
  <c r="J1105" i="1"/>
  <c r="L1105" i="1" s="1"/>
  <c r="D1105" i="1"/>
  <c r="J1104" i="1"/>
  <c r="L1104" i="1" s="1"/>
  <c r="D1104" i="1"/>
  <c r="J1103" i="1"/>
  <c r="L1103" i="1" s="1"/>
  <c r="D1103" i="1"/>
  <c r="J1102" i="1"/>
  <c r="L1102" i="1" s="1"/>
  <c r="D1102" i="1"/>
  <c r="J1101" i="1"/>
  <c r="L1101" i="1" s="1"/>
  <c r="D1101" i="1"/>
  <c r="J1100" i="1"/>
  <c r="L1100" i="1" s="1"/>
  <c r="D1100" i="1"/>
  <c r="J1099" i="1"/>
  <c r="L1099" i="1" s="1"/>
  <c r="D1099" i="1"/>
  <c r="J1098" i="1"/>
  <c r="L1098" i="1" s="1"/>
  <c r="D1098" i="1"/>
  <c r="J1097" i="1"/>
  <c r="L1097" i="1" s="1"/>
  <c r="D1097" i="1"/>
  <c r="J1096" i="1"/>
  <c r="L1096" i="1" s="1"/>
  <c r="D1096" i="1"/>
  <c r="J1095" i="1"/>
  <c r="L1095" i="1" s="1"/>
  <c r="D1095" i="1"/>
  <c r="J1094" i="1"/>
  <c r="L1094" i="1" s="1"/>
  <c r="D1094" i="1"/>
  <c r="J1093" i="1"/>
  <c r="L1093" i="1" s="1"/>
  <c r="D1093" i="1"/>
  <c r="J1092" i="1"/>
  <c r="L1092" i="1" s="1"/>
  <c r="D1092" i="1"/>
  <c r="J1091" i="1"/>
  <c r="L1091" i="1" s="1"/>
  <c r="D1091" i="1"/>
  <c r="J1090" i="1"/>
  <c r="L1090" i="1" s="1"/>
  <c r="D1090" i="1"/>
  <c r="J1089" i="1"/>
  <c r="L1089" i="1" s="1"/>
  <c r="D1089" i="1"/>
  <c r="J1088" i="1"/>
  <c r="L1088" i="1" s="1"/>
  <c r="D1088" i="1"/>
  <c r="J1087" i="1"/>
  <c r="L1087" i="1" s="1"/>
  <c r="D1087" i="1"/>
  <c r="J1086" i="1"/>
  <c r="L1086" i="1" s="1"/>
  <c r="D1086" i="1"/>
  <c r="J1085" i="1"/>
  <c r="L1085" i="1" s="1"/>
  <c r="D1085" i="1"/>
  <c r="J1084" i="1"/>
  <c r="L1084" i="1" s="1"/>
  <c r="D1084" i="1"/>
  <c r="J1083" i="1"/>
  <c r="L1083" i="1" s="1"/>
  <c r="D1083" i="1"/>
  <c r="J1082" i="1"/>
  <c r="L1082" i="1" s="1"/>
  <c r="D1082" i="1"/>
  <c r="L1081" i="1"/>
  <c r="J1081" i="1"/>
  <c r="D1081" i="1"/>
  <c r="J1080" i="1"/>
  <c r="L1080" i="1" s="1"/>
  <c r="D1080" i="1"/>
  <c r="J1079" i="1"/>
  <c r="L1079" i="1" s="1"/>
  <c r="D1079" i="1"/>
  <c r="J1078" i="1"/>
  <c r="L1078" i="1" s="1"/>
  <c r="D1078" i="1"/>
  <c r="J1077" i="1"/>
  <c r="L1077" i="1" s="1"/>
  <c r="D1077" i="1"/>
  <c r="J1076" i="1"/>
  <c r="L1076" i="1" s="1"/>
  <c r="D1076" i="1"/>
  <c r="J1075" i="1"/>
  <c r="L1075" i="1" s="1"/>
  <c r="D1075" i="1"/>
  <c r="J1074" i="1"/>
  <c r="L1074" i="1" s="1"/>
  <c r="D1074" i="1"/>
  <c r="J1073" i="1"/>
  <c r="L1073" i="1" s="1"/>
  <c r="D1073" i="1"/>
  <c r="J1072" i="1"/>
  <c r="L1072" i="1" s="1"/>
  <c r="D1072" i="1"/>
  <c r="J1071" i="1"/>
  <c r="L1071" i="1" s="1"/>
  <c r="D1071" i="1"/>
  <c r="J1070" i="1"/>
  <c r="L1070" i="1" s="1"/>
  <c r="D1070" i="1"/>
  <c r="J1069" i="1"/>
  <c r="L1069" i="1" s="1"/>
  <c r="D1069" i="1"/>
  <c r="J1068" i="1"/>
  <c r="L1068" i="1" s="1"/>
  <c r="D1068" i="1"/>
  <c r="J1067" i="1"/>
  <c r="L1067" i="1" s="1"/>
  <c r="D1067" i="1"/>
  <c r="J1066" i="1"/>
  <c r="L1066" i="1" s="1"/>
  <c r="D1066" i="1"/>
  <c r="J1065" i="1"/>
  <c r="L1065" i="1" s="1"/>
  <c r="D1065" i="1"/>
  <c r="J1064" i="1"/>
  <c r="L1064" i="1" s="1"/>
  <c r="D1064" i="1"/>
  <c r="J1063" i="1"/>
  <c r="L1063" i="1" s="1"/>
  <c r="D1063" i="1"/>
  <c r="J1062" i="1"/>
  <c r="L1062" i="1" s="1"/>
  <c r="D1062" i="1"/>
  <c r="J1061" i="1"/>
  <c r="L1061" i="1" s="1"/>
  <c r="D1061" i="1"/>
  <c r="J1060" i="1"/>
  <c r="L1060" i="1" s="1"/>
  <c r="D1060" i="1"/>
  <c r="L1059" i="1"/>
  <c r="J1059" i="1"/>
  <c r="D1059" i="1"/>
  <c r="J1058" i="1"/>
  <c r="L1058" i="1" s="1"/>
  <c r="D1058" i="1"/>
  <c r="J1057" i="1"/>
  <c r="L1057" i="1" s="1"/>
  <c r="D1057" i="1"/>
  <c r="J1056" i="1"/>
  <c r="L1056" i="1" s="1"/>
  <c r="D1056" i="1"/>
  <c r="J1055" i="1"/>
  <c r="L1055" i="1" s="1"/>
  <c r="D1055" i="1"/>
  <c r="J1054" i="1"/>
  <c r="L1054" i="1" s="1"/>
  <c r="D1054" i="1"/>
  <c r="J1053" i="1"/>
  <c r="L1053" i="1" s="1"/>
  <c r="D1053" i="1"/>
  <c r="L1052" i="1"/>
  <c r="J1052" i="1"/>
  <c r="D1052" i="1"/>
  <c r="J1051" i="1"/>
  <c r="L1051" i="1" s="1"/>
  <c r="D1051" i="1"/>
  <c r="J1050" i="1"/>
  <c r="L1050" i="1" s="1"/>
  <c r="D1050" i="1"/>
  <c r="J1049" i="1"/>
  <c r="L1049" i="1" s="1"/>
  <c r="D1049" i="1"/>
  <c r="J1048" i="1"/>
  <c r="L1048" i="1" s="1"/>
  <c r="D1048" i="1"/>
  <c r="J1047" i="1"/>
  <c r="L1047" i="1" s="1"/>
  <c r="D1047" i="1"/>
  <c r="L1046" i="1"/>
  <c r="J1046" i="1"/>
  <c r="D1046" i="1"/>
  <c r="J1045" i="1"/>
  <c r="L1045" i="1" s="1"/>
  <c r="D1045" i="1"/>
  <c r="J1044" i="1"/>
  <c r="L1044" i="1" s="1"/>
  <c r="D1044" i="1"/>
  <c r="J1043" i="1"/>
  <c r="L1043" i="1" s="1"/>
  <c r="D1043" i="1"/>
  <c r="J1042" i="1"/>
  <c r="L1042" i="1" s="1"/>
  <c r="D1042" i="1"/>
  <c r="J1041" i="1"/>
  <c r="L1041" i="1" s="1"/>
  <c r="D1041" i="1"/>
  <c r="J1040" i="1"/>
  <c r="L1040" i="1" s="1"/>
  <c r="D1040" i="1"/>
  <c r="L1039" i="1"/>
  <c r="J1039" i="1"/>
  <c r="D1039" i="1"/>
  <c r="J1038" i="1"/>
  <c r="L1038" i="1" s="1"/>
  <c r="D1038" i="1"/>
  <c r="J1037" i="1"/>
  <c r="L1037" i="1" s="1"/>
  <c r="D1037" i="1"/>
  <c r="J1036" i="1"/>
  <c r="L1036" i="1" s="1"/>
  <c r="D1036" i="1"/>
  <c r="J1035" i="1"/>
  <c r="L1035" i="1" s="1"/>
  <c r="D1035" i="1"/>
  <c r="J1034" i="1"/>
  <c r="L1034" i="1" s="1"/>
  <c r="D1034" i="1"/>
  <c r="J1033" i="1"/>
  <c r="L1033" i="1" s="1"/>
  <c r="D1033" i="1"/>
  <c r="J1032" i="1"/>
  <c r="L1032" i="1" s="1"/>
  <c r="D1032" i="1"/>
  <c r="J1031" i="1"/>
  <c r="L1031" i="1" s="1"/>
  <c r="D1031" i="1"/>
  <c r="J1030" i="1"/>
  <c r="L1030" i="1" s="1"/>
  <c r="D1030" i="1"/>
  <c r="J1029" i="1"/>
  <c r="L1029" i="1" s="1"/>
  <c r="D1029" i="1"/>
  <c r="J1028" i="1"/>
  <c r="L1028" i="1" s="1"/>
  <c r="D1028" i="1"/>
  <c r="J1027" i="1"/>
  <c r="L1027" i="1" s="1"/>
  <c r="D1027" i="1"/>
  <c r="L1026" i="1"/>
  <c r="J1026" i="1"/>
  <c r="D1026" i="1"/>
  <c r="J1025" i="1"/>
  <c r="L1025" i="1" s="1"/>
  <c r="D1025" i="1"/>
  <c r="J1024" i="1"/>
  <c r="L1024" i="1" s="1"/>
  <c r="D1024" i="1"/>
  <c r="J1023" i="1"/>
  <c r="L1023" i="1" s="1"/>
  <c r="D1023" i="1"/>
  <c r="J1022" i="1"/>
  <c r="L1022" i="1" s="1"/>
  <c r="D1022" i="1"/>
  <c r="J1021" i="1"/>
  <c r="L1021" i="1" s="1"/>
  <c r="D1021" i="1"/>
  <c r="J1020" i="1"/>
  <c r="L1020" i="1" s="1"/>
  <c r="D1020" i="1"/>
  <c r="J1019" i="1"/>
  <c r="L1019" i="1" s="1"/>
  <c r="D1019" i="1"/>
  <c r="J1018" i="1"/>
  <c r="L1018" i="1" s="1"/>
  <c r="D1018" i="1"/>
  <c r="L1017" i="1"/>
  <c r="J1017" i="1"/>
  <c r="D1017" i="1"/>
  <c r="J1016" i="1"/>
  <c r="L1016" i="1" s="1"/>
  <c r="D1016" i="1"/>
  <c r="J1015" i="1"/>
  <c r="L1015" i="1" s="1"/>
  <c r="D1015" i="1"/>
  <c r="L1014" i="1"/>
  <c r="J1014" i="1"/>
  <c r="D1014" i="1"/>
  <c r="J1013" i="1"/>
  <c r="L1013" i="1" s="1"/>
  <c r="D1013" i="1"/>
  <c r="J1012" i="1"/>
  <c r="L1012" i="1" s="1"/>
  <c r="D1012" i="1"/>
  <c r="J1011" i="1"/>
  <c r="L1011" i="1" s="1"/>
  <c r="D1011" i="1"/>
  <c r="J1010" i="1"/>
  <c r="L1010" i="1" s="1"/>
  <c r="D1010" i="1"/>
  <c r="J1009" i="1"/>
  <c r="L1009" i="1" s="1"/>
  <c r="D1009" i="1"/>
  <c r="L1008" i="1"/>
  <c r="J1008" i="1"/>
  <c r="D1008" i="1"/>
  <c r="L1007" i="1"/>
  <c r="J1007" i="1"/>
  <c r="D1007" i="1"/>
  <c r="J1006" i="1"/>
  <c r="L1006" i="1" s="1"/>
  <c r="D1006" i="1"/>
  <c r="J1005" i="1"/>
  <c r="L1005" i="1" s="1"/>
  <c r="D1005" i="1"/>
  <c r="J1004" i="1"/>
  <c r="L1004" i="1" s="1"/>
  <c r="D1004" i="1"/>
  <c r="J1003" i="1"/>
  <c r="L1003" i="1" s="1"/>
  <c r="D1003" i="1"/>
  <c r="J1002" i="1"/>
  <c r="L1002" i="1" s="1"/>
  <c r="D1002" i="1"/>
  <c r="J1001" i="1"/>
  <c r="L1001" i="1" s="1"/>
  <c r="D1001" i="1"/>
  <c r="J1000" i="1"/>
  <c r="L1000" i="1" s="1"/>
  <c r="D1000" i="1"/>
  <c r="J999" i="1"/>
  <c r="L999" i="1" s="1"/>
  <c r="D999" i="1"/>
  <c r="J998" i="1"/>
  <c r="L998" i="1" s="1"/>
  <c r="D998" i="1"/>
  <c r="J997" i="1"/>
  <c r="L997" i="1" s="1"/>
  <c r="D997" i="1"/>
  <c r="J996" i="1"/>
  <c r="L996" i="1" s="1"/>
  <c r="D996" i="1"/>
  <c r="L995" i="1"/>
  <c r="J995" i="1"/>
  <c r="D995" i="1"/>
  <c r="J994" i="1"/>
  <c r="L994" i="1" s="1"/>
  <c r="D994" i="1"/>
  <c r="J993" i="1"/>
  <c r="L993" i="1" s="1"/>
  <c r="D993" i="1"/>
  <c r="J992" i="1"/>
  <c r="L992" i="1" s="1"/>
  <c r="D992" i="1"/>
  <c r="J991" i="1"/>
  <c r="L991" i="1" s="1"/>
  <c r="D991" i="1"/>
  <c r="J990" i="1"/>
  <c r="L990" i="1" s="1"/>
  <c r="D990" i="1"/>
  <c r="J989" i="1"/>
  <c r="L989" i="1" s="1"/>
  <c r="D989" i="1"/>
  <c r="J988" i="1"/>
  <c r="L988" i="1" s="1"/>
  <c r="D988" i="1"/>
  <c r="J987" i="1"/>
  <c r="L987" i="1" s="1"/>
  <c r="D987" i="1"/>
  <c r="J986" i="1"/>
  <c r="L986" i="1" s="1"/>
  <c r="D986" i="1"/>
  <c r="J985" i="1"/>
  <c r="L985" i="1" s="1"/>
  <c r="D985" i="1"/>
  <c r="J984" i="1"/>
  <c r="L984" i="1" s="1"/>
  <c r="D984" i="1"/>
  <c r="J983" i="1"/>
  <c r="L983" i="1" s="1"/>
  <c r="D983" i="1"/>
  <c r="J982" i="1"/>
  <c r="L982" i="1" s="1"/>
  <c r="D982" i="1"/>
  <c r="J981" i="1"/>
  <c r="L981" i="1" s="1"/>
  <c r="D981" i="1"/>
  <c r="J980" i="1"/>
  <c r="L980" i="1" s="1"/>
  <c r="D980" i="1"/>
  <c r="J979" i="1"/>
  <c r="L979" i="1" s="1"/>
  <c r="D979" i="1"/>
  <c r="J978" i="1"/>
  <c r="L978" i="1" s="1"/>
  <c r="D978" i="1"/>
  <c r="J977" i="1"/>
  <c r="L977" i="1" s="1"/>
  <c r="D977" i="1"/>
  <c r="L976" i="1"/>
  <c r="J976" i="1"/>
  <c r="D976" i="1"/>
  <c r="J975" i="1"/>
  <c r="L975" i="1" s="1"/>
  <c r="D975" i="1"/>
  <c r="J974" i="1"/>
  <c r="L974" i="1" s="1"/>
  <c r="D974" i="1"/>
  <c r="J973" i="1"/>
  <c r="L973" i="1" s="1"/>
  <c r="D973" i="1"/>
  <c r="J972" i="1"/>
  <c r="L972" i="1" s="1"/>
  <c r="D972" i="1"/>
  <c r="J971" i="1"/>
  <c r="L971" i="1" s="1"/>
  <c r="D971" i="1"/>
  <c r="J970" i="1"/>
  <c r="L970" i="1" s="1"/>
  <c r="D970" i="1"/>
  <c r="J969" i="1"/>
  <c r="L969" i="1" s="1"/>
  <c r="D969" i="1"/>
  <c r="J968" i="1"/>
  <c r="L968" i="1" s="1"/>
  <c r="D968" i="1"/>
  <c r="J967" i="1"/>
  <c r="L967" i="1" s="1"/>
  <c r="D967" i="1"/>
  <c r="J966" i="1"/>
  <c r="L966" i="1" s="1"/>
  <c r="D966" i="1"/>
  <c r="J965" i="1"/>
  <c r="L965" i="1" s="1"/>
  <c r="D965" i="1"/>
  <c r="L964" i="1"/>
  <c r="J964" i="1"/>
  <c r="D964" i="1"/>
  <c r="L963" i="1"/>
  <c r="J963" i="1"/>
  <c r="D963" i="1"/>
  <c r="L962" i="1"/>
  <c r="J962" i="1"/>
  <c r="D962" i="1"/>
  <c r="J961" i="1"/>
  <c r="L961" i="1" s="1"/>
  <c r="D961" i="1"/>
  <c r="J960" i="1"/>
  <c r="L960" i="1" s="1"/>
  <c r="D960" i="1"/>
  <c r="J959" i="1"/>
  <c r="L959" i="1" s="1"/>
  <c r="D959" i="1"/>
  <c r="J958" i="1"/>
  <c r="L958" i="1" s="1"/>
  <c r="D958" i="1"/>
  <c r="J957" i="1"/>
  <c r="L957" i="1" s="1"/>
  <c r="D957" i="1"/>
  <c r="J956" i="1"/>
  <c r="L956" i="1" s="1"/>
  <c r="D956" i="1"/>
  <c r="J955" i="1"/>
  <c r="L955" i="1" s="1"/>
  <c r="D955" i="1"/>
  <c r="J954" i="1"/>
  <c r="L954" i="1" s="1"/>
  <c r="D954" i="1"/>
  <c r="J953" i="1"/>
  <c r="L953" i="1" s="1"/>
  <c r="D953" i="1"/>
  <c r="J952" i="1"/>
  <c r="L952" i="1" s="1"/>
  <c r="D952" i="1"/>
  <c r="J951" i="1"/>
  <c r="L951" i="1" s="1"/>
  <c r="D951" i="1"/>
  <c r="L950" i="1"/>
  <c r="J950" i="1"/>
  <c r="D950" i="1"/>
  <c r="J949" i="1"/>
  <c r="L949" i="1" s="1"/>
  <c r="D949" i="1"/>
  <c r="J948" i="1"/>
  <c r="L948" i="1" s="1"/>
  <c r="D948" i="1"/>
  <c r="J947" i="1"/>
  <c r="L947" i="1" s="1"/>
  <c r="D947" i="1"/>
  <c r="J946" i="1"/>
  <c r="L946" i="1" s="1"/>
  <c r="D946" i="1"/>
  <c r="J945" i="1"/>
  <c r="L945" i="1" s="1"/>
  <c r="D945" i="1"/>
  <c r="J944" i="1"/>
  <c r="L944" i="1" s="1"/>
  <c r="D944" i="1"/>
  <c r="L943" i="1"/>
  <c r="J943" i="1"/>
  <c r="D943" i="1"/>
  <c r="J942" i="1"/>
  <c r="L942" i="1" s="1"/>
  <c r="D942" i="1"/>
  <c r="J941" i="1"/>
  <c r="L941" i="1" s="1"/>
  <c r="D941" i="1"/>
  <c r="J940" i="1"/>
  <c r="L940" i="1" s="1"/>
  <c r="D940" i="1"/>
  <c r="J939" i="1"/>
  <c r="L939" i="1" s="1"/>
  <c r="D939" i="1"/>
  <c r="J938" i="1"/>
  <c r="L938" i="1" s="1"/>
  <c r="D938" i="1"/>
  <c r="J937" i="1"/>
  <c r="L937" i="1" s="1"/>
  <c r="D937" i="1"/>
  <c r="J936" i="1"/>
  <c r="L936" i="1" s="1"/>
  <c r="D936" i="1"/>
  <c r="J935" i="1"/>
  <c r="L935" i="1" s="1"/>
  <c r="D935" i="1"/>
  <c r="J934" i="1"/>
  <c r="L934" i="1" s="1"/>
  <c r="D934" i="1"/>
  <c r="J933" i="1"/>
  <c r="L933" i="1" s="1"/>
  <c r="D933" i="1"/>
  <c r="J932" i="1"/>
  <c r="L932" i="1" s="1"/>
  <c r="D932" i="1"/>
  <c r="J931" i="1"/>
  <c r="L931" i="1" s="1"/>
  <c r="D931" i="1"/>
  <c r="J930" i="1"/>
  <c r="L930" i="1" s="1"/>
  <c r="D930" i="1"/>
  <c r="J929" i="1"/>
  <c r="L929" i="1" s="1"/>
  <c r="D929" i="1"/>
  <c r="J928" i="1"/>
  <c r="L928" i="1" s="1"/>
  <c r="D928" i="1"/>
  <c r="J927" i="1"/>
  <c r="L927" i="1" s="1"/>
  <c r="D927" i="1"/>
  <c r="J926" i="1"/>
  <c r="L926" i="1" s="1"/>
  <c r="D926" i="1"/>
  <c r="J925" i="1"/>
  <c r="L925" i="1" s="1"/>
  <c r="D925" i="1"/>
  <c r="J924" i="1"/>
  <c r="L924" i="1" s="1"/>
  <c r="D924" i="1"/>
  <c r="J923" i="1"/>
  <c r="L923" i="1" s="1"/>
  <c r="D923" i="1"/>
  <c r="J922" i="1"/>
  <c r="L922" i="1" s="1"/>
  <c r="D922" i="1"/>
  <c r="L921" i="1"/>
  <c r="J921" i="1"/>
  <c r="D921" i="1"/>
  <c r="J920" i="1"/>
  <c r="L920" i="1" s="1"/>
  <c r="D920" i="1"/>
  <c r="J919" i="1"/>
  <c r="L919" i="1" s="1"/>
  <c r="D919" i="1"/>
  <c r="J918" i="1"/>
  <c r="L918" i="1" s="1"/>
  <c r="D918" i="1"/>
  <c r="J917" i="1"/>
  <c r="L917" i="1" s="1"/>
  <c r="D917" i="1"/>
  <c r="J916" i="1"/>
  <c r="L916" i="1" s="1"/>
  <c r="D916" i="1"/>
  <c r="J915" i="1"/>
  <c r="L915" i="1" s="1"/>
  <c r="D915" i="1"/>
  <c r="J914" i="1"/>
  <c r="L914" i="1" s="1"/>
  <c r="D914" i="1"/>
  <c r="J913" i="1"/>
  <c r="L913" i="1" s="1"/>
  <c r="D913" i="1"/>
  <c r="J912" i="1"/>
  <c r="L912" i="1" s="1"/>
  <c r="D912" i="1"/>
  <c r="J911" i="1"/>
  <c r="L911" i="1" s="1"/>
  <c r="D911" i="1"/>
  <c r="J910" i="1"/>
  <c r="L910" i="1" s="1"/>
  <c r="D910" i="1"/>
  <c r="J909" i="1"/>
  <c r="L909" i="1" s="1"/>
  <c r="D909" i="1"/>
  <c r="J908" i="1"/>
  <c r="L908" i="1" s="1"/>
  <c r="D908" i="1"/>
  <c r="J907" i="1"/>
  <c r="L907" i="1" s="1"/>
  <c r="D907" i="1"/>
  <c r="J906" i="1"/>
  <c r="L906" i="1" s="1"/>
  <c r="D906" i="1"/>
  <c r="J905" i="1"/>
  <c r="L905" i="1" s="1"/>
  <c r="D905" i="1"/>
  <c r="J904" i="1"/>
  <c r="L904" i="1" s="1"/>
  <c r="D904" i="1"/>
  <c r="J903" i="1"/>
  <c r="L903" i="1" s="1"/>
  <c r="D903" i="1"/>
  <c r="J902" i="1"/>
  <c r="L902" i="1" s="1"/>
  <c r="D902" i="1"/>
  <c r="J901" i="1"/>
  <c r="L901" i="1" s="1"/>
  <c r="D901" i="1"/>
  <c r="L900" i="1"/>
  <c r="J900" i="1"/>
  <c r="D900" i="1"/>
  <c r="J899" i="1"/>
  <c r="L899" i="1" s="1"/>
  <c r="D899" i="1"/>
  <c r="J898" i="1"/>
  <c r="L898" i="1" s="1"/>
  <c r="D898" i="1"/>
  <c r="J897" i="1"/>
  <c r="L897" i="1" s="1"/>
  <c r="D897" i="1"/>
  <c r="J896" i="1"/>
  <c r="L896" i="1" s="1"/>
  <c r="D896" i="1"/>
  <c r="J895" i="1"/>
  <c r="L895" i="1" s="1"/>
  <c r="D895" i="1"/>
  <c r="J894" i="1"/>
  <c r="L894" i="1" s="1"/>
  <c r="D894" i="1"/>
  <c r="J893" i="1"/>
  <c r="L893" i="1" s="1"/>
  <c r="D893" i="1"/>
  <c r="J892" i="1"/>
  <c r="L892" i="1" s="1"/>
  <c r="D892" i="1"/>
  <c r="J891" i="1"/>
  <c r="L891" i="1" s="1"/>
  <c r="D891" i="1"/>
  <c r="J890" i="1"/>
  <c r="L890" i="1" s="1"/>
  <c r="D890" i="1"/>
  <c r="J889" i="1"/>
  <c r="L889" i="1" s="1"/>
  <c r="D889" i="1"/>
  <c r="J888" i="1"/>
  <c r="L888" i="1" s="1"/>
  <c r="D888" i="1"/>
  <c r="J887" i="1"/>
  <c r="L887" i="1" s="1"/>
  <c r="D887" i="1"/>
  <c r="L886" i="1"/>
  <c r="J886" i="1"/>
  <c r="D886" i="1"/>
  <c r="J885" i="1"/>
  <c r="L885" i="1" s="1"/>
  <c r="D885" i="1"/>
  <c r="J884" i="1"/>
  <c r="L884" i="1" s="1"/>
  <c r="D884" i="1"/>
  <c r="J883" i="1"/>
  <c r="L883" i="1" s="1"/>
  <c r="D883" i="1"/>
  <c r="J882" i="1"/>
  <c r="L882" i="1" s="1"/>
  <c r="D882" i="1"/>
  <c r="J881" i="1"/>
  <c r="L881" i="1" s="1"/>
  <c r="D881" i="1"/>
  <c r="L880" i="1"/>
  <c r="J880" i="1"/>
  <c r="D880" i="1"/>
  <c r="L879" i="1"/>
  <c r="J879" i="1"/>
  <c r="D879" i="1"/>
  <c r="J878" i="1"/>
  <c r="L878" i="1" s="1"/>
  <c r="D878" i="1"/>
  <c r="J877" i="1"/>
  <c r="L877" i="1" s="1"/>
  <c r="D877" i="1"/>
  <c r="J876" i="1"/>
  <c r="L876" i="1" s="1"/>
  <c r="D876" i="1"/>
  <c r="J875" i="1"/>
  <c r="L875" i="1" s="1"/>
  <c r="D875" i="1"/>
  <c r="J874" i="1"/>
  <c r="L874" i="1" s="1"/>
  <c r="D874" i="1"/>
  <c r="J873" i="1"/>
  <c r="L873" i="1" s="1"/>
  <c r="D873" i="1"/>
  <c r="J872" i="1"/>
  <c r="L872" i="1" s="1"/>
  <c r="D872" i="1"/>
  <c r="J871" i="1"/>
  <c r="L871" i="1" s="1"/>
  <c r="D871" i="1"/>
  <c r="J870" i="1"/>
  <c r="L870" i="1" s="1"/>
  <c r="D870" i="1"/>
  <c r="J869" i="1"/>
  <c r="L869" i="1" s="1"/>
  <c r="D869" i="1"/>
  <c r="J868" i="1"/>
  <c r="L868" i="1" s="1"/>
  <c r="D868" i="1"/>
  <c r="L867" i="1"/>
  <c r="J867" i="1"/>
  <c r="D867" i="1"/>
  <c r="L866" i="1"/>
  <c r="J866" i="1"/>
  <c r="D866" i="1"/>
  <c r="J865" i="1"/>
  <c r="L865" i="1" s="1"/>
  <c r="D865" i="1"/>
  <c r="J864" i="1"/>
  <c r="L864" i="1" s="1"/>
  <c r="D864" i="1"/>
  <c r="J863" i="1"/>
  <c r="L863" i="1" s="1"/>
  <c r="D863" i="1"/>
  <c r="J862" i="1"/>
  <c r="L862" i="1" s="1"/>
  <c r="D862" i="1"/>
  <c r="J861" i="1"/>
  <c r="L861" i="1" s="1"/>
  <c r="D861" i="1"/>
  <c r="J860" i="1"/>
  <c r="L860" i="1" s="1"/>
  <c r="D860" i="1"/>
  <c r="J859" i="1"/>
  <c r="L859" i="1" s="1"/>
  <c r="D859" i="1"/>
  <c r="J858" i="1"/>
  <c r="L858" i="1" s="1"/>
  <c r="D858" i="1"/>
  <c r="L857" i="1"/>
  <c r="J857" i="1"/>
  <c r="D857" i="1"/>
  <c r="J856" i="1"/>
  <c r="L856" i="1" s="1"/>
  <c r="D856" i="1"/>
  <c r="J855" i="1"/>
  <c r="L855" i="1" s="1"/>
  <c r="D855" i="1"/>
  <c r="J854" i="1"/>
  <c r="L854" i="1" s="1"/>
  <c r="D854" i="1"/>
  <c r="J853" i="1"/>
  <c r="L853" i="1" s="1"/>
  <c r="D853" i="1"/>
  <c r="J852" i="1"/>
  <c r="L852" i="1" s="1"/>
  <c r="D852" i="1"/>
  <c r="J851" i="1"/>
  <c r="L851" i="1" s="1"/>
  <c r="D851" i="1"/>
  <c r="J850" i="1"/>
  <c r="L850" i="1" s="1"/>
  <c r="D850" i="1"/>
  <c r="J849" i="1"/>
  <c r="L849" i="1" s="1"/>
  <c r="D849" i="1"/>
  <c r="J848" i="1"/>
  <c r="L848" i="1" s="1"/>
  <c r="D848" i="1"/>
  <c r="J847" i="1"/>
  <c r="L847" i="1" s="1"/>
  <c r="D847" i="1"/>
  <c r="J846" i="1"/>
  <c r="L846" i="1" s="1"/>
  <c r="D846" i="1"/>
  <c r="J845" i="1"/>
  <c r="L845" i="1" s="1"/>
  <c r="D845" i="1"/>
  <c r="J844" i="1"/>
  <c r="L844" i="1" s="1"/>
  <c r="D844" i="1"/>
  <c r="J843" i="1"/>
  <c r="L843" i="1" s="1"/>
  <c r="D843" i="1"/>
  <c r="J842" i="1"/>
  <c r="L842" i="1" s="1"/>
  <c r="D842" i="1"/>
  <c r="J841" i="1"/>
  <c r="L841" i="1" s="1"/>
  <c r="D841" i="1"/>
  <c r="J840" i="1"/>
  <c r="L840" i="1" s="1"/>
  <c r="D840" i="1"/>
  <c r="J839" i="1"/>
  <c r="L839" i="1" s="1"/>
  <c r="D839" i="1"/>
  <c r="J838" i="1"/>
  <c r="L838" i="1" s="1"/>
  <c r="D838" i="1"/>
  <c r="J837" i="1"/>
  <c r="L837" i="1" s="1"/>
  <c r="D837" i="1"/>
  <c r="L836" i="1"/>
  <c r="J836" i="1"/>
  <c r="D836" i="1"/>
  <c r="J835" i="1"/>
  <c r="L835" i="1" s="1"/>
  <c r="D835" i="1"/>
  <c r="J834" i="1"/>
  <c r="L834" i="1" s="1"/>
  <c r="D834" i="1"/>
  <c r="J833" i="1"/>
  <c r="L833" i="1" s="1"/>
  <c r="D833" i="1"/>
  <c r="J832" i="1"/>
  <c r="L832" i="1" s="1"/>
  <c r="D832" i="1"/>
  <c r="J831" i="1"/>
  <c r="L831" i="1" s="1"/>
  <c r="D831" i="1"/>
  <c r="J830" i="1"/>
  <c r="L830" i="1" s="1"/>
  <c r="D830" i="1"/>
  <c r="J829" i="1"/>
  <c r="L829" i="1" s="1"/>
  <c r="D829" i="1"/>
  <c r="J828" i="1"/>
  <c r="L828" i="1" s="1"/>
  <c r="D828" i="1"/>
  <c r="J827" i="1"/>
  <c r="L827" i="1" s="1"/>
  <c r="D827" i="1"/>
  <c r="J826" i="1"/>
  <c r="L826" i="1" s="1"/>
  <c r="D826" i="1"/>
  <c r="J825" i="1"/>
  <c r="L825" i="1" s="1"/>
  <c r="D825" i="1"/>
  <c r="J824" i="1"/>
  <c r="L824" i="1" s="1"/>
  <c r="D824" i="1"/>
  <c r="J823" i="1"/>
  <c r="L823" i="1" s="1"/>
  <c r="D823" i="1"/>
  <c r="L822" i="1"/>
  <c r="J822" i="1"/>
  <c r="D822" i="1"/>
  <c r="J821" i="1"/>
  <c r="L821" i="1" s="1"/>
  <c r="D821" i="1"/>
  <c r="J820" i="1"/>
  <c r="L820" i="1" s="1"/>
  <c r="D820" i="1"/>
  <c r="J819" i="1"/>
  <c r="L819" i="1" s="1"/>
  <c r="D819" i="1"/>
  <c r="J818" i="1"/>
  <c r="L818" i="1" s="1"/>
  <c r="D818" i="1"/>
  <c r="J817" i="1"/>
  <c r="L817" i="1" s="1"/>
  <c r="D817" i="1"/>
  <c r="J816" i="1"/>
  <c r="L816" i="1" s="1"/>
  <c r="D816" i="1"/>
  <c r="L815" i="1"/>
  <c r="J815" i="1"/>
  <c r="D815" i="1"/>
  <c r="J814" i="1"/>
  <c r="L814" i="1" s="1"/>
  <c r="D814" i="1"/>
  <c r="J813" i="1"/>
  <c r="L813" i="1" s="1"/>
  <c r="D813" i="1"/>
  <c r="J812" i="1"/>
  <c r="L812" i="1" s="1"/>
  <c r="D812" i="1"/>
  <c r="J811" i="1"/>
  <c r="L811" i="1" s="1"/>
  <c r="D811" i="1"/>
  <c r="J810" i="1"/>
  <c r="L810" i="1" s="1"/>
  <c r="D810" i="1"/>
  <c r="J809" i="1"/>
  <c r="L809" i="1" s="1"/>
  <c r="D809" i="1"/>
  <c r="J808" i="1"/>
  <c r="L808" i="1" s="1"/>
  <c r="D808" i="1"/>
  <c r="J807" i="1"/>
  <c r="L807" i="1" s="1"/>
  <c r="D807" i="1"/>
  <c r="J806" i="1"/>
  <c r="L806" i="1" s="1"/>
  <c r="D806" i="1"/>
  <c r="J805" i="1"/>
  <c r="L805" i="1" s="1"/>
  <c r="D805" i="1"/>
  <c r="L804" i="1"/>
  <c r="J804" i="1"/>
  <c r="D804" i="1"/>
  <c r="L803" i="1"/>
  <c r="J803" i="1"/>
  <c r="D803" i="1"/>
  <c r="J802" i="1"/>
  <c r="L802" i="1" s="1"/>
  <c r="D802" i="1"/>
  <c r="J801" i="1"/>
  <c r="L801" i="1" s="1"/>
  <c r="D801" i="1"/>
  <c r="J800" i="1"/>
  <c r="L800" i="1" s="1"/>
  <c r="D800" i="1"/>
  <c r="J799" i="1"/>
  <c r="L799" i="1" s="1"/>
  <c r="D799" i="1"/>
  <c r="J798" i="1"/>
  <c r="L798" i="1" s="1"/>
  <c r="D798" i="1"/>
  <c r="J797" i="1"/>
  <c r="L797" i="1" s="1"/>
  <c r="D797" i="1"/>
  <c r="J796" i="1"/>
  <c r="L796" i="1" s="1"/>
  <c r="D796" i="1"/>
  <c r="J795" i="1"/>
  <c r="L795" i="1" s="1"/>
  <c r="D795" i="1"/>
  <c r="J794" i="1"/>
  <c r="L794" i="1" s="1"/>
  <c r="D794" i="1"/>
  <c r="L793" i="1"/>
  <c r="J793" i="1"/>
  <c r="D793" i="1"/>
  <c r="J792" i="1"/>
  <c r="L792" i="1" s="1"/>
  <c r="D792" i="1"/>
  <c r="J791" i="1"/>
  <c r="L791" i="1" s="1"/>
  <c r="D791" i="1"/>
  <c r="L790" i="1"/>
  <c r="J790" i="1"/>
  <c r="D790" i="1"/>
  <c r="J789" i="1"/>
  <c r="L789" i="1" s="1"/>
  <c r="D789" i="1"/>
  <c r="J788" i="1"/>
  <c r="L788" i="1" s="1"/>
  <c r="D788" i="1"/>
  <c r="J787" i="1"/>
  <c r="L787" i="1" s="1"/>
  <c r="D787" i="1"/>
  <c r="J786" i="1"/>
  <c r="L786" i="1" s="1"/>
  <c r="D786" i="1"/>
  <c r="J785" i="1"/>
  <c r="L785" i="1" s="1"/>
  <c r="D785" i="1"/>
  <c r="L784" i="1"/>
  <c r="J784" i="1"/>
  <c r="D784" i="1"/>
  <c r="L783" i="1"/>
  <c r="J783" i="1"/>
  <c r="D783" i="1"/>
  <c r="J782" i="1"/>
  <c r="L782" i="1" s="1"/>
  <c r="D782" i="1"/>
  <c r="J781" i="1"/>
  <c r="L781" i="1" s="1"/>
  <c r="D781" i="1"/>
  <c r="J780" i="1"/>
  <c r="L780" i="1" s="1"/>
  <c r="D780" i="1"/>
  <c r="J779" i="1"/>
  <c r="L779" i="1" s="1"/>
  <c r="D779" i="1"/>
  <c r="J778" i="1"/>
  <c r="L778" i="1" s="1"/>
  <c r="D778" i="1"/>
  <c r="L777" i="1"/>
  <c r="J777" i="1"/>
  <c r="D777" i="1"/>
  <c r="J776" i="1"/>
  <c r="L776" i="1" s="1"/>
  <c r="D776" i="1"/>
  <c r="J775" i="1"/>
  <c r="L775" i="1" s="1"/>
  <c r="D775" i="1"/>
  <c r="J774" i="1"/>
  <c r="L774" i="1" s="1"/>
  <c r="D774" i="1"/>
  <c r="J773" i="1"/>
  <c r="L773" i="1" s="1"/>
  <c r="D773" i="1"/>
  <c r="J772" i="1"/>
  <c r="L772" i="1" s="1"/>
  <c r="D772" i="1"/>
  <c r="J771" i="1"/>
  <c r="L771" i="1" s="1"/>
  <c r="D771" i="1"/>
  <c r="J770" i="1"/>
  <c r="L770" i="1" s="1"/>
  <c r="D770" i="1"/>
  <c r="J769" i="1"/>
  <c r="L769" i="1" s="1"/>
  <c r="D769" i="1"/>
  <c r="J768" i="1"/>
  <c r="L768" i="1" s="1"/>
  <c r="D768" i="1"/>
  <c r="J767" i="1"/>
  <c r="L767" i="1" s="1"/>
  <c r="D767" i="1"/>
  <c r="J766" i="1"/>
  <c r="L766" i="1" s="1"/>
  <c r="D766" i="1"/>
  <c r="J765" i="1"/>
  <c r="L765" i="1" s="1"/>
  <c r="D765" i="1"/>
  <c r="J764" i="1"/>
  <c r="L764" i="1" s="1"/>
  <c r="D764" i="1"/>
  <c r="J763" i="1"/>
  <c r="L763" i="1" s="1"/>
  <c r="D763" i="1"/>
  <c r="J762" i="1"/>
  <c r="L762" i="1" s="1"/>
  <c r="D762" i="1"/>
  <c r="J761" i="1"/>
  <c r="L761" i="1" s="1"/>
  <c r="D761" i="1"/>
  <c r="J760" i="1"/>
  <c r="L760" i="1" s="1"/>
  <c r="D760" i="1"/>
  <c r="J759" i="1"/>
  <c r="L759" i="1" s="1"/>
  <c r="D759" i="1"/>
  <c r="L758" i="1"/>
  <c r="J758" i="1"/>
  <c r="D758" i="1"/>
  <c r="J757" i="1"/>
  <c r="L757" i="1" s="1"/>
  <c r="D757" i="1"/>
  <c r="J756" i="1"/>
  <c r="L756" i="1" s="1"/>
  <c r="D756" i="1"/>
  <c r="J755" i="1"/>
  <c r="L755" i="1" s="1"/>
  <c r="D755" i="1"/>
  <c r="J754" i="1"/>
  <c r="L754" i="1" s="1"/>
  <c r="D754" i="1"/>
  <c r="J753" i="1"/>
  <c r="L753" i="1" s="1"/>
  <c r="D753" i="1"/>
  <c r="J752" i="1"/>
  <c r="L752" i="1" s="1"/>
  <c r="D752" i="1"/>
  <c r="J751" i="1"/>
  <c r="L751" i="1" s="1"/>
  <c r="D751" i="1"/>
  <c r="J750" i="1"/>
  <c r="L750" i="1" s="1"/>
  <c r="D750" i="1"/>
  <c r="J749" i="1"/>
  <c r="L749" i="1" s="1"/>
  <c r="D749" i="1"/>
  <c r="J748" i="1"/>
  <c r="L748" i="1" s="1"/>
  <c r="D748" i="1"/>
  <c r="J747" i="1"/>
  <c r="L747" i="1" s="1"/>
  <c r="D747" i="1"/>
  <c r="J746" i="1"/>
  <c r="L746" i="1" s="1"/>
  <c r="D746" i="1"/>
  <c r="J745" i="1"/>
  <c r="L745" i="1" s="1"/>
  <c r="D745" i="1"/>
  <c r="J744" i="1"/>
  <c r="L744" i="1" s="1"/>
  <c r="D744" i="1"/>
  <c r="J743" i="1"/>
  <c r="L743" i="1" s="1"/>
  <c r="D743" i="1"/>
  <c r="J742" i="1"/>
  <c r="L742" i="1" s="1"/>
  <c r="D742" i="1"/>
  <c r="J741" i="1"/>
  <c r="L741" i="1" s="1"/>
  <c r="D741" i="1"/>
  <c r="J740" i="1"/>
  <c r="L740" i="1" s="1"/>
  <c r="D740" i="1"/>
  <c r="J739" i="1"/>
  <c r="L739" i="1" s="1"/>
  <c r="D739" i="1"/>
  <c r="J738" i="1"/>
  <c r="L738" i="1" s="1"/>
  <c r="D738" i="1"/>
  <c r="J737" i="1"/>
  <c r="L737" i="1" s="1"/>
  <c r="D737" i="1"/>
  <c r="J736" i="1"/>
  <c r="L736" i="1" s="1"/>
  <c r="D736" i="1"/>
  <c r="J735" i="1"/>
  <c r="L735" i="1" s="1"/>
  <c r="D735" i="1"/>
  <c r="J734" i="1"/>
  <c r="L734" i="1" s="1"/>
  <c r="D734" i="1"/>
  <c r="J733" i="1"/>
  <c r="L733" i="1" s="1"/>
  <c r="D733" i="1"/>
  <c r="J732" i="1"/>
  <c r="L732" i="1" s="1"/>
  <c r="D732" i="1"/>
  <c r="J731" i="1"/>
  <c r="L731" i="1" s="1"/>
  <c r="D731" i="1"/>
  <c r="J730" i="1"/>
  <c r="L730" i="1" s="1"/>
  <c r="D730" i="1"/>
  <c r="J729" i="1"/>
  <c r="L729" i="1" s="1"/>
  <c r="D729" i="1"/>
  <c r="J728" i="1"/>
  <c r="L728" i="1" s="1"/>
  <c r="D728" i="1"/>
  <c r="J727" i="1"/>
  <c r="L727" i="1" s="1"/>
  <c r="D727" i="1"/>
  <c r="L726" i="1"/>
  <c r="J726" i="1"/>
  <c r="D726" i="1"/>
  <c r="J725" i="1"/>
  <c r="L725" i="1" s="1"/>
  <c r="D725" i="1"/>
  <c r="J724" i="1"/>
  <c r="L724" i="1" s="1"/>
  <c r="D724" i="1"/>
  <c r="J723" i="1"/>
  <c r="L723" i="1" s="1"/>
  <c r="D723" i="1"/>
  <c r="J722" i="1"/>
  <c r="L722" i="1" s="1"/>
  <c r="D722" i="1"/>
  <c r="J721" i="1"/>
  <c r="L721" i="1" s="1"/>
  <c r="D721" i="1"/>
  <c r="J720" i="1"/>
  <c r="L720" i="1" s="1"/>
  <c r="D720" i="1"/>
  <c r="J719" i="1"/>
  <c r="L719" i="1" s="1"/>
  <c r="D719" i="1"/>
  <c r="J718" i="1"/>
  <c r="L718" i="1" s="1"/>
  <c r="D718" i="1"/>
  <c r="J717" i="1"/>
  <c r="L717" i="1" s="1"/>
  <c r="D717" i="1"/>
  <c r="J716" i="1"/>
  <c r="L716" i="1" s="1"/>
  <c r="D716" i="1"/>
  <c r="J715" i="1"/>
  <c r="L715" i="1" s="1"/>
  <c r="D715" i="1"/>
  <c r="J714" i="1"/>
  <c r="L714" i="1" s="1"/>
  <c r="D714" i="1"/>
  <c r="L713" i="1"/>
  <c r="J713" i="1"/>
  <c r="D713" i="1"/>
  <c r="J712" i="1"/>
  <c r="L712" i="1" s="1"/>
  <c r="D712" i="1"/>
  <c r="J711" i="1"/>
  <c r="L711" i="1" s="1"/>
  <c r="D711" i="1"/>
  <c r="J710" i="1"/>
  <c r="L710" i="1" s="1"/>
  <c r="D710" i="1"/>
  <c r="J709" i="1"/>
  <c r="L709" i="1" s="1"/>
  <c r="D709" i="1"/>
  <c r="J708" i="1"/>
  <c r="L708" i="1" s="1"/>
  <c r="D708" i="1"/>
  <c r="J707" i="1"/>
  <c r="L707" i="1" s="1"/>
  <c r="D707" i="1"/>
  <c r="J706" i="1"/>
  <c r="L706" i="1" s="1"/>
  <c r="D706" i="1"/>
  <c r="J705" i="1"/>
  <c r="L705" i="1" s="1"/>
  <c r="D705" i="1"/>
  <c r="J704" i="1"/>
  <c r="L704" i="1" s="1"/>
  <c r="D704" i="1"/>
  <c r="J703" i="1"/>
  <c r="L703" i="1" s="1"/>
  <c r="D703" i="1"/>
  <c r="J702" i="1"/>
  <c r="L702" i="1" s="1"/>
  <c r="D702" i="1"/>
  <c r="J701" i="1"/>
  <c r="L701" i="1" s="1"/>
  <c r="D701" i="1"/>
  <c r="J700" i="1"/>
  <c r="L700" i="1" s="1"/>
  <c r="D700" i="1"/>
  <c r="J699" i="1"/>
  <c r="L699" i="1" s="1"/>
  <c r="D699" i="1"/>
  <c r="J698" i="1"/>
  <c r="L698" i="1" s="1"/>
  <c r="D698" i="1"/>
  <c r="J697" i="1"/>
  <c r="L697" i="1" s="1"/>
  <c r="D697" i="1"/>
  <c r="J696" i="1"/>
  <c r="L696" i="1" s="1"/>
  <c r="D696" i="1"/>
  <c r="J695" i="1"/>
  <c r="L695" i="1" s="1"/>
  <c r="D695" i="1"/>
  <c r="L694" i="1"/>
  <c r="J694" i="1"/>
  <c r="D694" i="1"/>
  <c r="J693" i="1"/>
  <c r="L693" i="1" s="1"/>
  <c r="D693" i="1"/>
  <c r="L692" i="1"/>
  <c r="D692" i="1"/>
  <c r="J691" i="1"/>
  <c r="L691" i="1" s="1"/>
  <c r="D691" i="1"/>
  <c r="J690" i="1"/>
  <c r="L690" i="1" s="1"/>
  <c r="D690" i="1"/>
  <c r="J689" i="1"/>
  <c r="L689" i="1" s="1"/>
  <c r="D689" i="1"/>
  <c r="J688" i="1"/>
  <c r="L688" i="1" s="1"/>
  <c r="D688" i="1"/>
  <c r="J687" i="1"/>
  <c r="L687" i="1" s="1"/>
  <c r="D687" i="1"/>
  <c r="J686" i="1"/>
  <c r="L686" i="1" s="1"/>
  <c r="D686" i="1"/>
  <c r="J685" i="1"/>
  <c r="L685" i="1" s="1"/>
  <c r="D685" i="1"/>
  <c r="J684" i="1"/>
  <c r="L684" i="1" s="1"/>
  <c r="D684" i="1"/>
  <c r="J683" i="1"/>
  <c r="L683" i="1" s="1"/>
  <c r="D683" i="1"/>
  <c r="J682" i="1"/>
  <c r="L682" i="1" s="1"/>
  <c r="D682" i="1"/>
  <c r="J681" i="1"/>
  <c r="L681" i="1" s="1"/>
  <c r="D681" i="1"/>
  <c r="L680" i="1"/>
  <c r="J680" i="1"/>
  <c r="D680" i="1"/>
  <c r="L679" i="1"/>
  <c r="J679" i="1"/>
  <c r="D679" i="1"/>
  <c r="J678" i="1"/>
  <c r="L678" i="1" s="1"/>
  <c r="D678" i="1"/>
  <c r="J677" i="1"/>
  <c r="L677" i="1" s="1"/>
  <c r="D677" i="1"/>
  <c r="J676" i="1"/>
  <c r="L676" i="1" s="1"/>
  <c r="D676" i="1"/>
  <c r="J675" i="1"/>
  <c r="L675" i="1" s="1"/>
  <c r="D675" i="1"/>
  <c r="J674" i="1"/>
  <c r="L674" i="1" s="1"/>
  <c r="D674" i="1"/>
  <c r="J673" i="1"/>
  <c r="L673" i="1" s="1"/>
  <c r="D673" i="1"/>
  <c r="J672" i="1"/>
  <c r="L672" i="1" s="1"/>
  <c r="D672" i="1"/>
  <c r="J671" i="1"/>
  <c r="L671" i="1" s="1"/>
  <c r="D671" i="1"/>
  <c r="J670" i="1"/>
  <c r="L670" i="1" s="1"/>
  <c r="D670" i="1"/>
  <c r="J669" i="1"/>
  <c r="L669" i="1" s="1"/>
  <c r="D669" i="1"/>
  <c r="J668" i="1"/>
  <c r="L668" i="1" s="1"/>
  <c r="D668" i="1"/>
  <c r="J667" i="1"/>
  <c r="L667" i="1" s="1"/>
  <c r="D667" i="1"/>
  <c r="J666" i="1"/>
  <c r="L666" i="1" s="1"/>
  <c r="D666" i="1"/>
  <c r="L665" i="1"/>
  <c r="J665" i="1"/>
  <c r="D665" i="1"/>
  <c r="L664" i="1"/>
  <c r="J664" i="1"/>
  <c r="D664" i="1"/>
  <c r="J663" i="1"/>
  <c r="L663" i="1" s="1"/>
  <c r="D663" i="1"/>
  <c r="J662" i="1"/>
  <c r="L662" i="1" s="1"/>
  <c r="D662" i="1"/>
  <c r="J661" i="1"/>
  <c r="L661" i="1" s="1"/>
  <c r="D661" i="1"/>
  <c r="J660" i="1"/>
  <c r="L660" i="1" s="1"/>
  <c r="D660" i="1"/>
  <c r="J659" i="1"/>
  <c r="L659" i="1" s="1"/>
  <c r="D659" i="1"/>
  <c r="J658" i="1"/>
  <c r="L658" i="1" s="1"/>
  <c r="D658" i="1"/>
  <c r="J657" i="1"/>
  <c r="L657" i="1" s="1"/>
  <c r="D657" i="1"/>
  <c r="J656" i="1"/>
  <c r="L656" i="1" s="1"/>
  <c r="D656" i="1"/>
  <c r="J655" i="1"/>
  <c r="L655" i="1" s="1"/>
  <c r="D655" i="1"/>
  <c r="J654" i="1"/>
  <c r="L654" i="1" s="1"/>
  <c r="D654" i="1"/>
  <c r="J653" i="1"/>
  <c r="L653" i="1" s="1"/>
  <c r="D653" i="1"/>
  <c r="J652" i="1"/>
  <c r="L652" i="1" s="1"/>
  <c r="D652" i="1"/>
  <c r="J651" i="1"/>
  <c r="L651" i="1" s="1"/>
  <c r="D651" i="1"/>
  <c r="J650" i="1"/>
  <c r="L650" i="1" s="1"/>
  <c r="D650" i="1"/>
  <c r="J649" i="1"/>
  <c r="L649" i="1" s="1"/>
  <c r="D649" i="1"/>
  <c r="J648" i="1"/>
  <c r="L648" i="1" s="1"/>
  <c r="D648" i="1"/>
  <c r="J647" i="1"/>
  <c r="L647" i="1" s="1"/>
  <c r="D647" i="1"/>
  <c r="J646" i="1"/>
  <c r="L646" i="1" s="1"/>
  <c r="D646" i="1"/>
  <c r="J645" i="1"/>
  <c r="L645" i="1" s="1"/>
  <c r="D645" i="1"/>
  <c r="J644" i="1"/>
  <c r="L644" i="1" s="1"/>
  <c r="D644" i="1"/>
  <c r="J643" i="1"/>
  <c r="L643" i="1" s="1"/>
  <c r="D643" i="1"/>
  <c r="J642" i="1"/>
  <c r="L642" i="1" s="1"/>
  <c r="D642" i="1"/>
  <c r="J641" i="1"/>
  <c r="L641" i="1" s="1"/>
  <c r="D641" i="1"/>
  <c r="J640" i="1"/>
  <c r="L640" i="1" s="1"/>
  <c r="D640" i="1"/>
  <c r="J639" i="1"/>
  <c r="L639" i="1" s="1"/>
  <c r="D639" i="1"/>
  <c r="J638" i="1"/>
  <c r="L638" i="1" s="1"/>
  <c r="D638" i="1"/>
  <c r="L637" i="1"/>
  <c r="J637" i="1"/>
  <c r="D637" i="1"/>
  <c r="J636" i="1"/>
  <c r="L636" i="1" s="1"/>
  <c r="D636" i="1"/>
  <c r="J635" i="1"/>
  <c r="L635" i="1" s="1"/>
  <c r="D635" i="1"/>
  <c r="J634" i="1"/>
  <c r="L634" i="1" s="1"/>
  <c r="D634" i="1"/>
  <c r="J633" i="1"/>
  <c r="L633" i="1" s="1"/>
  <c r="D633" i="1"/>
  <c r="J632" i="1"/>
  <c r="L632" i="1" s="1"/>
  <c r="D632" i="1"/>
  <c r="J631" i="1"/>
  <c r="L631" i="1" s="1"/>
  <c r="D631" i="1"/>
  <c r="J630" i="1"/>
  <c r="L630" i="1" s="1"/>
  <c r="D630" i="1"/>
  <c r="J629" i="1"/>
  <c r="L629" i="1" s="1"/>
  <c r="D629" i="1"/>
  <c r="J628" i="1"/>
  <c r="L628" i="1" s="1"/>
  <c r="D628" i="1"/>
  <c r="J627" i="1"/>
  <c r="L627" i="1" s="1"/>
  <c r="D627" i="1"/>
  <c r="J626" i="1"/>
  <c r="L626" i="1" s="1"/>
  <c r="D626" i="1"/>
  <c r="J625" i="1"/>
  <c r="L625" i="1" s="1"/>
  <c r="D625" i="1"/>
  <c r="J624" i="1"/>
  <c r="L624" i="1" s="1"/>
  <c r="D624" i="1"/>
  <c r="J623" i="1"/>
  <c r="L623" i="1" s="1"/>
  <c r="D623" i="1"/>
  <c r="J622" i="1"/>
  <c r="L622" i="1" s="1"/>
  <c r="D622" i="1"/>
  <c r="J621" i="1"/>
  <c r="L621" i="1" s="1"/>
  <c r="D621" i="1"/>
  <c r="J620" i="1"/>
  <c r="L620" i="1" s="1"/>
  <c r="D620" i="1"/>
  <c r="J619" i="1"/>
  <c r="L619" i="1" s="1"/>
  <c r="D619" i="1"/>
  <c r="J618" i="1"/>
  <c r="L618" i="1" s="1"/>
  <c r="D618" i="1"/>
  <c r="J617" i="1"/>
  <c r="L617" i="1" s="1"/>
  <c r="D617" i="1"/>
  <c r="J616" i="1"/>
  <c r="L616" i="1" s="1"/>
  <c r="D616" i="1"/>
  <c r="J615" i="1"/>
  <c r="L615" i="1" s="1"/>
  <c r="D615" i="1"/>
  <c r="J614" i="1"/>
  <c r="L614" i="1" s="1"/>
  <c r="D614" i="1"/>
  <c r="J613" i="1"/>
  <c r="L613" i="1" s="1"/>
  <c r="D613" i="1"/>
  <c r="L612" i="1"/>
  <c r="J612" i="1"/>
  <c r="D612" i="1"/>
  <c r="J611" i="1"/>
  <c r="L611" i="1" s="1"/>
  <c r="D611" i="1"/>
  <c r="J610" i="1"/>
  <c r="L610" i="1" s="1"/>
  <c r="D610" i="1"/>
  <c r="J609" i="1"/>
  <c r="L609" i="1" s="1"/>
  <c r="D609" i="1"/>
  <c r="J608" i="1"/>
  <c r="L608" i="1" s="1"/>
  <c r="D608" i="1"/>
  <c r="J607" i="1"/>
  <c r="L607" i="1" s="1"/>
  <c r="D607" i="1"/>
  <c r="J606" i="1"/>
  <c r="L606" i="1" s="1"/>
  <c r="D606" i="1"/>
  <c r="J605" i="1"/>
  <c r="L605" i="1" s="1"/>
  <c r="D605" i="1"/>
  <c r="J604" i="1"/>
  <c r="L604" i="1" s="1"/>
  <c r="D604" i="1"/>
  <c r="J603" i="1"/>
  <c r="L603" i="1" s="1"/>
  <c r="D603" i="1"/>
  <c r="J602" i="1"/>
  <c r="L602" i="1" s="1"/>
  <c r="D602" i="1"/>
  <c r="J601" i="1"/>
  <c r="L601" i="1" s="1"/>
  <c r="D601" i="1"/>
  <c r="J600" i="1"/>
  <c r="L600" i="1" s="1"/>
  <c r="D600" i="1"/>
  <c r="J599" i="1"/>
  <c r="L599" i="1" s="1"/>
  <c r="D599" i="1"/>
  <c r="J598" i="1"/>
  <c r="L598" i="1" s="1"/>
  <c r="D598" i="1"/>
  <c r="J597" i="1"/>
  <c r="L597" i="1" s="1"/>
  <c r="D597" i="1"/>
  <c r="J596" i="1"/>
  <c r="L596" i="1" s="1"/>
  <c r="D596" i="1"/>
  <c r="J595" i="1"/>
  <c r="L595" i="1" s="1"/>
  <c r="D595" i="1"/>
  <c r="J594" i="1"/>
  <c r="L594" i="1" s="1"/>
  <c r="D594" i="1"/>
  <c r="J593" i="1"/>
  <c r="L593" i="1" s="1"/>
  <c r="D593" i="1"/>
  <c r="J592" i="1"/>
  <c r="L592" i="1" s="1"/>
  <c r="D592" i="1"/>
  <c r="J591" i="1"/>
  <c r="L591" i="1" s="1"/>
  <c r="D591" i="1"/>
  <c r="L590" i="1"/>
  <c r="J590" i="1"/>
  <c r="D590" i="1"/>
  <c r="J589" i="1"/>
  <c r="L589" i="1" s="1"/>
  <c r="D589" i="1"/>
  <c r="J588" i="1"/>
  <c r="L588" i="1" s="1"/>
  <c r="D588" i="1"/>
  <c r="J587" i="1"/>
  <c r="L587" i="1" s="1"/>
  <c r="D587" i="1"/>
  <c r="J586" i="1"/>
  <c r="L586" i="1" s="1"/>
  <c r="D586" i="1"/>
  <c r="J585" i="1"/>
  <c r="L585" i="1" s="1"/>
  <c r="D585" i="1"/>
  <c r="J584" i="1"/>
  <c r="L584" i="1" s="1"/>
  <c r="D584" i="1"/>
  <c r="J583" i="1"/>
  <c r="L583" i="1" s="1"/>
  <c r="D583" i="1"/>
  <c r="J582" i="1"/>
  <c r="L582" i="1" s="1"/>
  <c r="D582" i="1"/>
  <c r="J581" i="1"/>
  <c r="L581" i="1" s="1"/>
  <c r="D581" i="1"/>
  <c r="L580" i="1"/>
  <c r="J580" i="1"/>
  <c r="D580" i="1"/>
  <c r="J579" i="1"/>
  <c r="L579" i="1" s="1"/>
  <c r="D579" i="1"/>
  <c r="J578" i="1"/>
  <c r="L578" i="1" s="1"/>
  <c r="D578" i="1"/>
  <c r="J577" i="1"/>
  <c r="L577" i="1" s="1"/>
  <c r="D577" i="1"/>
  <c r="J576" i="1"/>
  <c r="L576" i="1" s="1"/>
  <c r="D576" i="1"/>
  <c r="J575" i="1"/>
  <c r="L575" i="1" s="1"/>
  <c r="D575" i="1"/>
  <c r="J574" i="1"/>
  <c r="L574" i="1" s="1"/>
  <c r="D574" i="1"/>
  <c r="J573" i="1"/>
  <c r="L573" i="1" s="1"/>
  <c r="D573" i="1"/>
  <c r="J572" i="1"/>
  <c r="L572" i="1" s="1"/>
  <c r="D572" i="1"/>
  <c r="J571" i="1"/>
  <c r="L571" i="1" s="1"/>
  <c r="D571" i="1"/>
  <c r="J570" i="1"/>
  <c r="L570" i="1" s="1"/>
  <c r="D570" i="1"/>
  <c r="J569" i="1"/>
  <c r="L569" i="1" s="1"/>
  <c r="D569" i="1"/>
  <c r="J568" i="1"/>
  <c r="L568" i="1" s="1"/>
  <c r="D568" i="1"/>
  <c r="L567" i="1"/>
  <c r="J567" i="1"/>
  <c r="D567" i="1"/>
  <c r="J566" i="1"/>
  <c r="L566" i="1" s="1"/>
  <c r="D566" i="1"/>
  <c r="J565" i="1"/>
  <c r="L565" i="1" s="1"/>
  <c r="D565" i="1"/>
  <c r="J564" i="1"/>
  <c r="L564" i="1" s="1"/>
  <c r="D564" i="1"/>
  <c r="J563" i="1"/>
  <c r="L563" i="1" s="1"/>
  <c r="D563" i="1"/>
  <c r="J562" i="1"/>
  <c r="L562" i="1" s="1"/>
  <c r="D562" i="1"/>
  <c r="J561" i="1"/>
  <c r="L561" i="1" s="1"/>
  <c r="D561" i="1"/>
  <c r="J560" i="1"/>
  <c r="L560" i="1" s="1"/>
  <c r="D560" i="1"/>
  <c r="J559" i="1"/>
  <c r="L559" i="1" s="1"/>
  <c r="D559" i="1"/>
  <c r="L558" i="1"/>
  <c r="J558" i="1"/>
  <c r="D558" i="1"/>
  <c r="J557" i="1"/>
  <c r="L557" i="1" s="1"/>
  <c r="D557" i="1"/>
  <c r="J556" i="1"/>
  <c r="L556" i="1" s="1"/>
  <c r="D556" i="1"/>
  <c r="J555" i="1"/>
  <c r="L555" i="1" s="1"/>
  <c r="D555" i="1"/>
  <c r="J554" i="1"/>
  <c r="L554" i="1" s="1"/>
  <c r="D554" i="1"/>
  <c r="J553" i="1"/>
  <c r="L553" i="1" s="1"/>
  <c r="D553" i="1"/>
  <c r="J552" i="1"/>
  <c r="L552" i="1" s="1"/>
  <c r="D552" i="1"/>
  <c r="J551" i="1"/>
  <c r="L551" i="1" s="1"/>
  <c r="D551" i="1"/>
  <c r="J550" i="1"/>
  <c r="L550" i="1" s="1"/>
  <c r="D550" i="1"/>
  <c r="J549" i="1"/>
  <c r="L549" i="1" s="1"/>
  <c r="D549" i="1"/>
  <c r="L548" i="1"/>
  <c r="J548" i="1"/>
  <c r="D548" i="1"/>
  <c r="J547" i="1"/>
  <c r="L547" i="1" s="1"/>
  <c r="D547" i="1"/>
  <c r="J546" i="1"/>
  <c r="L546" i="1" s="1"/>
  <c r="D546" i="1"/>
  <c r="J545" i="1"/>
  <c r="L545" i="1" s="1"/>
  <c r="D545" i="1"/>
  <c r="J544" i="1"/>
  <c r="L544" i="1" s="1"/>
  <c r="D544" i="1"/>
  <c r="J543" i="1"/>
  <c r="L543" i="1" s="1"/>
  <c r="D543" i="1"/>
  <c r="J542" i="1"/>
  <c r="L542" i="1" s="1"/>
  <c r="D542" i="1"/>
  <c r="J541" i="1"/>
  <c r="L541" i="1" s="1"/>
  <c r="D541" i="1"/>
  <c r="J540" i="1"/>
  <c r="L540" i="1" s="1"/>
  <c r="D540" i="1"/>
  <c r="J539" i="1"/>
  <c r="L539" i="1" s="1"/>
  <c r="D539" i="1"/>
  <c r="J538" i="1"/>
  <c r="L538" i="1" s="1"/>
  <c r="D538" i="1"/>
  <c r="J537" i="1"/>
  <c r="L537" i="1" s="1"/>
  <c r="D537" i="1"/>
  <c r="J536" i="1"/>
  <c r="L536" i="1" s="1"/>
  <c r="D536" i="1"/>
  <c r="J535" i="1"/>
  <c r="L535" i="1" s="1"/>
  <c r="D535" i="1"/>
  <c r="J534" i="1"/>
  <c r="L534" i="1" s="1"/>
  <c r="D534" i="1"/>
  <c r="J533" i="1"/>
  <c r="L533" i="1" s="1"/>
  <c r="D533" i="1"/>
  <c r="J532" i="1"/>
  <c r="L532" i="1" s="1"/>
  <c r="D532" i="1"/>
  <c r="J531" i="1"/>
  <c r="L531" i="1" s="1"/>
  <c r="D531" i="1"/>
  <c r="J530" i="1"/>
  <c r="L530" i="1" s="1"/>
  <c r="D530" i="1"/>
  <c r="J529" i="1"/>
  <c r="L529" i="1" s="1"/>
  <c r="D529" i="1"/>
  <c r="J528" i="1"/>
  <c r="L528" i="1" s="1"/>
  <c r="D528" i="1"/>
  <c r="J527" i="1"/>
  <c r="L527" i="1" s="1"/>
  <c r="D527" i="1"/>
  <c r="L526" i="1"/>
  <c r="J526" i="1"/>
  <c r="D526" i="1"/>
  <c r="J525" i="1"/>
  <c r="L525" i="1" s="1"/>
  <c r="D525" i="1"/>
  <c r="J524" i="1"/>
  <c r="L524" i="1" s="1"/>
  <c r="D524" i="1"/>
  <c r="J523" i="1"/>
  <c r="L523" i="1" s="1"/>
  <c r="D523" i="1"/>
  <c r="J522" i="1"/>
  <c r="L522" i="1" s="1"/>
  <c r="D522" i="1"/>
  <c r="J521" i="1"/>
  <c r="L521" i="1" s="1"/>
  <c r="D521" i="1"/>
  <c r="J520" i="1"/>
  <c r="L520" i="1" s="1"/>
  <c r="D520" i="1"/>
  <c r="J519" i="1"/>
  <c r="L519" i="1" s="1"/>
  <c r="D519" i="1"/>
  <c r="J518" i="1"/>
  <c r="L518" i="1" s="1"/>
  <c r="D518" i="1"/>
  <c r="J517" i="1"/>
  <c r="L517" i="1" s="1"/>
  <c r="D517" i="1"/>
  <c r="L516" i="1"/>
  <c r="J516" i="1"/>
  <c r="D516" i="1"/>
  <c r="J515" i="1"/>
  <c r="L515" i="1" s="1"/>
  <c r="D515" i="1"/>
  <c r="J514" i="1"/>
  <c r="L514" i="1" s="1"/>
  <c r="D514" i="1"/>
  <c r="J513" i="1"/>
  <c r="L513" i="1" s="1"/>
  <c r="D513" i="1"/>
  <c r="J512" i="1"/>
  <c r="L512" i="1" s="1"/>
  <c r="D512" i="1"/>
  <c r="J511" i="1"/>
  <c r="L511" i="1" s="1"/>
  <c r="D511" i="1"/>
  <c r="J510" i="1"/>
  <c r="L510" i="1" s="1"/>
  <c r="D510" i="1"/>
  <c r="J509" i="1"/>
  <c r="L509" i="1" s="1"/>
  <c r="D509" i="1"/>
  <c r="J508" i="1"/>
  <c r="L508" i="1" s="1"/>
  <c r="D508" i="1"/>
  <c r="J507" i="1"/>
  <c r="L507" i="1" s="1"/>
  <c r="D507" i="1"/>
  <c r="J506" i="1"/>
  <c r="L506" i="1" s="1"/>
  <c r="D506" i="1"/>
  <c r="J505" i="1"/>
  <c r="L505" i="1" s="1"/>
  <c r="D505" i="1"/>
  <c r="J504" i="1"/>
  <c r="L504" i="1" s="1"/>
  <c r="D504" i="1"/>
  <c r="L503" i="1"/>
  <c r="J503" i="1"/>
  <c r="D503" i="1"/>
  <c r="J502" i="1"/>
  <c r="L502" i="1" s="1"/>
  <c r="D502" i="1"/>
  <c r="J501" i="1"/>
  <c r="L501" i="1" s="1"/>
  <c r="D501" i="1"/>
  <c r="J500" i="1"/>
  <c r="L500" i="1" s="1"/>
  <c r="D500" i="1"/>
  <c r="J499" i="1"/>
  <c r="L499" i="1" s="1"/>
  <c r="D499" i="1"/>
  <c r="J498" i="1"/>
  <c r="L498" i="1" s="1"/>
  <c r="D498" i="1"/>
  <c r="J497" i="1"/>
  <c r="L497" i="1" s="1"/>
  <c r="D497" i="1"/>
  <c r="J496" i="1"/>
  <c r="L496" i="1" s="1"/>
  <c r="D496" i="1"/>
  <c r="J495" i="1"/>
  <c r="L495" i="1" s="1"/>
  <c r="D495" i="1"/>
  <c r="L494" i="1"/>
  <c r="J494" i="1"/>
  <c r="D494" i="1"/>
  <c r="J493" i="1"/>
  <c r="L493" i="1" s="1"/>
  <c r="D493" i="1"/>
  <c r="J492" i="1"/>
  <c r="L492" i="1" s="1"/>
  <c r="D492" i="1"/>
  <c r="J491" i="1"/>
  <c r="L491" i="1" s="1"/>
  <c r="D491" i="1"/>
  <c r="J490" i="1"/>
  <c r="L490" i="1" s="1"/>
  <c r="D490" i="1"/>
  <c r="J489" i="1"/>
  <c r="L489" i="1" s="1"/>
  <c r="D489" i="1"/>
  <c r="J488" i="1"/>
  <c r="L488" i="1" s="1"/>
  <c r="D488" i="1"/>
  <c r="J487" i="1"/>
  <c r="L487" i="1" s="1"/>
  <c r="D487" i="1"/>
  <c r="J486" i="1"/>
  <c r="L486" i="1" s="1"/>
  <c r="D486" i="1"/>
  <c r="J485" i="1"/>
  <c r="L485" i="1" s="1"/>
  <c r="D485" i="1"/>
  <c r="L484" i="1"/>
  <c r="J484" i="1"/>
  <c r="D484" i="1"/>
  <c r="J483" i="1"/>
  <c r="L483" i="1" s="1"/>
  <c r="D483" i="1"/>
  <c r="J482" i="1"/>
  <c r="L482" i="1" s="1"/>
  <c r="D482" i="1"/>
  <c r="J481" i="1"/>
  <c r="L481" i="1" s="1"/>
  <c r="D481" i="1"/>
  <c r="J480" i="1"/>
  <c r="L480" i="1" s="1"/>
  <c r="D480" i="1"/>
  <c r="J479" i="1"/>
  <c r="L479" i="1" s="1"/>
  <c r="D479" i="1"/>
  <c r="L478" i="1"/>
  <c r="J478" i="1"/>
  <c r="D478" i="1"/>
  <c r="L477" i="1"/>
  <c r="J477" i="1"/>
  <c r="D477" i="1"/>
  <c r="J476" i="1"/>
  <c r="L476" i="1" s="1"/>
  <c r="D476" i="1"/>
  <c r="J475" i="1"/>
  <c r="L475" i="1" s="1"/>
  <c r="D475" i="1"/>
  <c r="J474" i="1"/>
  <c r="L474" i="1" s="1"/>
  <c r="D474" i="1"/>
  <c r="J473" i="1"/>
  <c r="L473" i="1" s="1"/>
  <c r="D473" i="1"/>
  <c r="J472" i="1"/>
  <c r="L472" i="1" s="1"/>
  <c r="D472" i="1"/>
  <c r="J471" i="1"/>
  <c r="L471" i="1" s="1"/>
  <c r="D471" i="1"/>
  <c r="J470" i="1"/>
  <c r="L470" i="1" s="1"/>
  <c r="D470" i="1"/>
  <c r="J469" i="1"/>
  <c r="L469" i="1" s="1"/>
  <c r="D469" i="1"/>
  <c r="J468" i="1"/>
  <c r="L468" i="1" s="1"/>
  <c r="D468" i="1"/>
  <c r="J467" i="1"/>
  <c r="L467" i="1" s="1"/>
  <c r="D467" i="1"/>
  <c r="J466" i="1"/>
  <c r="L466" i="1" s="1"/>
  <c r="D466" i="1"/>
  <c r="J465" i="1"/>
  <c r="L465" i="1" s="1"/>
  <c r="D465" i="1"/>
  <c r="J464" i="1"/>
  <c r="L464" i="1" s="1"/>
  <c r="D464" i="1"/>
  <c r="J463" i="1"/>
  <c r="L463" i="1" s="1"/>
  <c r="D463" i="1"/>
  <c r="J462" i="1"/>
  <c r="L462" i="1" s="1"/>
  <c r="D462" i="1"/>
  <c r="J461" i="1"/>
  <c r="L461" i="1" s="1"/>
  <c r="D461" i="1"/>
  <c r="J460" i="1"/>
  <c r="L460" i="1" s="1"/>
  <c r="D460" i="1"/>
  <c r="J459" i="1"/>
  <c r="L459" i="1" s="1"/>
  <c r="D459" i="1"/>
  <c r="J458" i="1"/>
  <c r="L458" i="1" s="1"/>
  <c r="D458" i="1"/>
  <c r="J457" i="1"/>
  <c r="L457" i="1" s="1"/>
  <c r="D457" i="1"/>
  <c r="J456" i="1"/>
  <c r="L456" i="1" s="1"/>
  <c r="D456" i="1"/>
  <c r="J455" i="1"/>
  <c r="L455" i="1" s="1"/>
  <c r="D455" i="1"/>
  <c r="J454" i="1"/>
  <c r="L454" i="1" s="1"/>
  <c r="D454" i="1"/>
  <c r="J453" i="1"/>
  <c r="L453" i="1" s="1"/>
  <c r="D453" i="1"/>
  <c r="J452" i="1"/>
  <c r="L452" i="1" s="1"/>
  <c r="D452" i="1"/>
  <c r="J451" i="1"/>
  <c r="L451" i="1" s="1"/>
  <c r="D451" i="1"/>
  <c r="J450" i="1"/>
  <c r="L450" i="1" s="1"/>
  <c r="D450" i="1"/>
  <c r="J449" i="1"/>
  <c r="L449" i="1" s="1"/>
  <c r="D449" i="1"/>
  <c r="J448" i="1"/>
  <c r="L448" i="1" s="1"/>
  <c r="D448" i="1"/>
  <c r="J447" i="1"/>
  <c r="L447" i="1" s="1"/>
  <c r="D447" i="1"/>
  <c r="J446" i="1"/>
  <c r="L446" i="1" s="1"/>
  <c r="D446" i="1"/>
  <c r="J445" i="1"/>
  <c r="L445" i="1" s="1"/>
  <c r="D445" i="1"/>
  <c r="J444" i="1"/>
  <c r="L444" i="1" s="1"/>
  <c r="D444" i="1"/>
  <c r="J443" i="1"/>
  <c r="L443" i="1" s="1"/>
  <c r="D443" i="1"/>
  <c r="J442" i="1"/>
  <c r="L442" i="1" s="1"/>
  <c r="D442" i="1"/>
  <c r="J441" i="1"/>
  <c r="L441" i="1" s="1"/>
  <c r="D441" i="1"/>
  <c r="L440" i="1"/>
  <c r="J440" i="1"/>
  <c r="D440" i="1"/>
  <c r="L439" i="1"/>
  <c r="J439" i="1"/>
  <c r="D439" i="1"/>
  <c r="J438" i="1"/>
  <c r="L438" i="1" s="1"/>
  <c r="D438" i="1"/>
  <c r="J437" i="1"/>
  <c r="L437" i="1" s="1"/>
  <c r="D437" i="1"/>
  <c r="J436" i="1"/>
  <c r="L436" i="1" s="1"/>
  <c r="D436" i="1"/>
  <c r="J435" i="1"/>
  <c r="L435" i="1" s="1"/>
  <c r="D435" i="1"/>
  <c r="J434" i="1"/>
  <c r="L434" i="1" s="1"/>
  <c r="D434" i="1"/>
  <c r="J433" i="1"/>
  <c r="L433" i="1" s="1"/>
  <c r="D433" i="1"/>
  <c r="J432" i="1"/>
  <c r="L432" i="1" s="1"/>
  <c r="D432" i="1"/>
  <c r="J431" i="1"/>
  <c r="L431" i="1" s="1"/>
  <c r="D431" i="1"/>
  <c r="J430" i="1"/>
  <c r="L430" i="1" s="1"/>
  <c r="D430" i="1"/>
  <c r="J429" i="1"/>
  <c r="L429" i="1" s="1"/>
  <c r="D429" i="1"/>
  <c r="J428" i="1"/>
  <c r="L428" i="1" s="1"/>
  <c r="D428" i="1"/>
  <c r="J427" i="1"/>
  <c r="L427" i="1" s="1"/>
  <c r="D427" i="1"/>
  <c r="J426" i="1"/>
  <c r="L426" i="1" s="1"/>
  <c r="D426" i="1"/>
  <c r="J425" i="1"/>
  <c r="L425" i="1" s="1"/>
  <c r="D425" i="1"/>
  <c r="J424" i="1"/>
  <c r="L424" i="1" s="1"/>
  <c r="D424" i="1"/>
  <c r="J423" i="1"/>
  <c r="L423" i="1" s="1"/>
  <c r="D423" i="1"/>
  <c r="J422" i="1"/>
  <c r="L422" i="1" s="1"/>
  <c r="D422" i="1"/>
  <c r="J421" i="1"/>
  <c r="L421" i="1" s="1"/>
  <c r="D421" i="1"/>
  <c r="J420" i="1"/>
  <c r="L420" i="1" s="1"/>
  <c r="D420" i="1"/>
  <c r="J419" i="1"/>
  <c r="L419" i="1" s="1"/>
  <c r="D419" i="1"/>
  <c r="J418" i="1"/>
  <c r="L418" i="1" s="1"/>
  <c r="D418" i="1"/>
  <c r="J417" i="1"/>
  <c r="L417" i="1" s="1"/>
  <c r="D417" i="1"/>
  <c r="J416" i="1"/>
  <c r="L416" i="1" s="1"/>
  <c r="D416" i="1"/>
  <c r="J415" i="1"/>
  <c r="L415" i="1" s="1"/>
  <c r="D415" i="1"/>
  <c r="J414" i="1"/>
  <c r="L414" i="1" s="1"/>
  <c r="D414" i="1"/>
  <c r="J413" i="1"/>
  <c r="L413" i="1" s="1"/>
  <c r="D413" i="1"/>
  <c r="J412" i="1"/>
  <c r="L412" i="1" s="1"/>
  <c r="D412" i="1"/>
  <c r="J411" i="1"/>
  <c r="L411" i="1" s="1"/>
  <c r="D411" i="1"/>
  <c r="J410" i="1"/>
  <c r="L410" i="1" s="1"/>
  <c r="D410" i="1"/>
  <c r="L409" i="1"/>
  <c r="J409" i="1"/>
  <c r="D409" i="1"/>
  <c r="J408" i="1"/>
  <c r="L408" i="1" s="1"/>
  <c r="D408" i="1"/>
  <c r="J407" i="1"/>
  <c r="L407" i="1" s="1"/>
  <c r="D407" i="1"/>
  <c r="J406" i="1"/>
  <c r="L406" i="1" s="1"/>
  <c r="D406" i="1"/>
  <c r="J405" i="1"/>
  <c r="L405" i="1" s="1"/>
  <c r="D405" i="1"/>
  <c r="J404" i="1"/>
  <c r="L404" i="1" s="1"/>
  <c r="D404" i="1"/>
  <c r="J403" i="1"/>
  <c r="L403" i="1" s="1"/>
  <c r="D403" i="1"/>
  <c r="J402" i="1"/>
  <c r="L402" i="1" s="1"/>
  <c r="D402" i="1"/>
  <c r="J401" i="1"/>
  <c r="L401" i="1" s="1"/>
  <c r="D401" i="1"/>
  <c r="J400" i="1"/>
  <c r="L400" i="1" s="1"/>
  <c r="D400" i="1"/>
  <c r="J399" i="1"/>
  <c r="L399" i="1" s="1"/>
  <c r="D399" i="1"/>
  <c r="J398" i="1"/>
  <c r="L398" i="1" s="1"/>
  <c r="D398" i="1"/>
  <c r="L397" i="1"/>
  <c r="J397" i="1"/>
  <c r="D397" i="1"/>
  <c r="J396" i="1"/>
  <c r="L396" i="1" s="1"/>
  <c r="D396" i="1"/>
  <c r="J395" i="1"/>
  <c r="L395" i="1" s="1"/>
  <c r="D395" i="1"/>
  <c r="J394" i="1"/>
  <c r="L394" i="1" s="1"/>
  <c r="D394" i="1"/>
  <c r="J393" i="1"/>
  <c r="L393" i="1" s="1"/>
  <c r="D393" i="1"/>
  <c r="J392" i="1"/>
  <c r="L392" i="1" s="1"/>
  <c r="D392" i="1"/>
  <c r="L391" i="1"/>
  <c r="J391" i="1"/>
  <c r="D391" i="1"/>
  <c r="J390" i="1"/>
  <c r="L390" i="1" s="1"/>
  <c r="D390" i="1"/>
  <c r="J389" i="1"/>
  <c r="L389" i="1" s="1"/>
  <c r="D389" i="1"/>
  <c r="J388" i="1"/>
  <c r="L388" i="1" s="1"/>
  <c r="D388" i="1"/>
  <c r="J387" i="1"/>
  <c r="L387" i="1" s="1"/>
  <c r="D387" i="1"/>
  <c r="J386" i="1"/>
  <c r="L386" i="1" s="1"/>
  <c r="D386" i="1"/>
  <c r="J385" i="1"/>
  <c r="L385" i="1" s="1"/>
  <c r="D385" i="1"/>
  <c r="J384" i="1"/>
  <c r="L384" i="1" s="1"/>
  <c r="D384" i="1"/>
  <c r="J383" i="1"/>
  <c r="L383" i="1" s="1"/>
  <c r="D383" i="1"/>
  <c r="J382" i="1"/>
  <c r="L382" i="1" s="1"/>
  <c r="D382" i="1"/>
  <c r="J381" i="1"/>
  <c r="L381" i="1" s="1"/>
  <c r="D381" i="1"/>
  <c r="J380" i="1"/>
  <c r="L380" i="1" s="1"/>
  <c r="D380" i="1"/>
  <c r="J379" i="1"/>
  <c r="L379" i="1" s="1"/>
  <c r="D379" i="1"/>
  <c r="J378" i="1"/>
  <c r="L378" i="1" s="1"/>
  <c r="D378" i="1"/>
  <c r="J377" i="1"/>
  <c r="L377" i="1" s="1"/>
  <c r="D377" i="1"/>
  <c r="J376" i="1"/>
  <c r="L376" i="1" s="1"/>
  <c r="D376" i="1"/>
  <c r="J375" i="1"/>
  <c r="L375" i="1" s="1"/>
  <c r="D375" i="1"/>
  <c r="J374" i="1"/>
  <c r="L374" i="1" s="1"/>
  <c r="D374" i="1"/>
  <c r="J373" i="1"/>
  <c r="L373" i="1" s="1"/>
  <c r="D373" i="1"/>
  <c r="J372" i="1"/>
  <c r="L372" i="1" s="1"/>
  <c r="D372" i="1"/>
  <c r="J371" i="1"/>
  <c r="L371" i="1" s="1"/>
  <c r="D371" i="1"/>
  <c r="J370" i="1"/>
  <c r="L370" i="1" s="1"/>
  <c r="D370" i="1"/>
  <c r="J369" i="1"/>
  <c r="L369" i="1" s="1"/>
  <c r="D369" i="1"/>
  <c r="J368" i="1"/>
  <c r="L368" i="1" s="1"/>
  <c r="D368" i="1"/>
  <c r="J367" i="1"/>
  <c r="L367" i="1" s="1"/>
  <c r="D367" i="1"/>
  <c r="J366" i="1"/>
  <c r="L366" i="1" s="1"/>
  <c r="D366" i="1"/>
  <c r="L365" i="1"/>
  <c r="J365" i="1"/>
  <c r="D365" i="1"/>
  <c r="J364" i="1"/>
  <c r="L364" i="1" s="1"/>
  <c r="D364" i="1"/>
  <c r="J363" i="1"/>
  <c r="L363" i="1" s="1"/>
  <c r="D363" i="1"/>
  <c r="J362" i="1"/>
  <c r="L362" i="1" s="1"/>
  <c r="D362" i="1"/>
  <c r="J361" i="1"/>
  <c r="L361" i="1" s="1"/>
  <c r="D361" i="1"/>
  <c r="J360" i="1"/>
  <c r="L360" i="1" s="1"/>
  <c r="D360" i="1"/>
  <c r="J359" i="1"/>
  <c r="L359" i="1" s="1"/>
  <c r="D359" i="1"/>
  <c r="J358" i="1"/>
  <c r="L358" i="1" s="1"/>
  <c r="D358" i="1"/>
  <c r="J357" i="1"/>
  <c r="L357" i="1" s="1"/>
  <c r="D357" i="1"/>
  <c r="J356" i="1"/>
  <c r="L356" i="1" s="1"/>
  <c r="D356" i="1"/>
  <c r="J355" i="1"/>
  <c r="L355" i="1" s="1"/>
  <c r="D355" i="1"/>
  <c r="J354" i="1"/>
  <c r="L354" i="1" s="1"/>
  <c r="D354" i="1"/>
  <c r="J353" i="1"/>
  <c r="L353" i="1" s="1"/>
  <c r="D353" i="1"/>
  <c r="J352" i="1"/>
  <c r="L352" i="1" s="1"/>
  <c r="D352" i="1"/>
  <c r="J351" i="1"/>
  <c r="L351" i="1" s="1"/>
  <c r="D351" i="1"/>
  <c r="J350" i="1"/>
  <c r="L350" i="1" s="1"/>
  <c r="D350" i="1"/>
  <c r="J349" i="1"/>
  <c r="L349" i="1" s="1"/>
  <c r="D349" i="1"/>
  <c r="J348" i="1"/>
  <c r="L348" i="1" s="1"/>
  <c r="D348" i="1"/>
  <c r="J347" i="1"/>
  <c r="L347" i="1" s="1"/>
  <c r="D347" i="1"/>
  <c r="J346" i="1"/>
  <c r="L346" i="1" s="1"/>
  <c r="D346" i="1"/>
  <c r="J345" i="1"/>
  <c r="L345" i="1" s="1"/>
  <c r="D345" i="1"/>
  <c r="J344" i="1"/>
  <c r="L344" i="1" s="1"/>
  <c r="D344" i="1"/>
  <c r="J343" i="1"/>
  <c r="L343" i="1" s="1"/>
  <c r="D343" i="1"/>
  <c r="J342" i="1"/>
  <c r="L342" i="1" s="1"/>
  <c r="D342" i="1"/>
  <c r="J341" i="1"/>
  <c r="L341" i="1" s="1"/>
  <c r="D341" i="1"/>
  <c r="J340" i="1"/>
  <c r="L340" i="1" s="1"/>
  <c r="D340" i="1"/>
  <c r="J339" i="1"/>
  <c r="L339" i="1" s="1"/>
  <c r="D339" i="1"/>
  <c r="J338" i="1"/>
  <c r="L338" i="1" s="1"/>
  <c r="D338" i="1"/>
  <c r="J337" i="1"/>
  <c r="L337" i="1" s="1"/>
  <c r="D337" i="1"/>
  <c r="J336" i="1"/>
  <c r="L336" i="1" s="1"/>
  <c r="D336" i="1"/>
  <c r="J335" i="1"/>
  <c r="L335" i="1" s="1"/>
  <c r="D335" i="1"/>
  <c r="J334" i="1"/>
  <c r="L334" i="1" s="1"/>
  <c r="D334" i="1"/>
  <c r="L333" i="1"/>
  <c r="J333" i="1"/>
  <c r="D333" i="1"/>
  <c r="J332" i="1"/>
  <c r="L332" i="1" s="1"/>
  <c r="D332" i="1"/>
  <c r="J331" i="1"/>
  <c r="L331" i="1" s="1"/>
  <c r="D331" i="1"/>
  <c r="J330" i="1"/>
  <c r="L330" i="1" s="1"/>
  <c r="D330" i="1"/>
  <c r="J329" i="1"/>
  <c r="L329" i="1" s="1"/>
  <c r="D329" i="1"/>
  <c r="J328" i="1"/>
  <c r="L328" i="1" s="1"/>
  <c r="D328" i="1"/>
  <c r="J327" i="1"/>
  <c r="L327" i="1" s="1"/>
  <c r="D327" i="1"/>
  <c r="J326" i="1"/>
  <c r="L326" i="1" s="1"/>
  <c r="D326" i="1"/>
  <c r="L325" i="1"/>
  <c r="J325" i="1"/>
  <c r="D325" i="1"/>
  <c r="J324" i="1"/>
  <c r="L324" i="1" s="1"/>
  <c r="D324" i="1"/>
  <c r="J323" i="1"/>
  <c r="L323" i="1" s="1"/>
  <c r="D323" i="1"/>
  <c r="J322" i="1"/>
  <c r="L322" i="1" s="1"/>
  <c r="D322" i="1"/>
  <c r="L321" i="1"/>
  <c r="J321" i="1"/>
  <c r="D321" i="1"/>
  <c r="J320" i="1"/>
  <c r="L320" i="1" s="1"/>
  <c r="D320" i="1"/>
  <c r="J319" i="1"/>
  <c r="L319" i="1" s="1"/>
  <c r="D319" i="1"/>
  <c r="L318" i="1"/>
  <c r="J318" i="1"/>
  <c r="D318" i="1"/>
  <c r="L317" i="1"/>
  <c r="J317" i="1"/>
  <c r="D317" i="1"/>
  <c r="J316" i="1"/>
  <c r="L316" i="1" s="1"/>
  <c r="D316" i="1"/>
  <c r="J315" i="1"/>
  <c r="L315" i="1" s="1"/>
  <c r="D315" i="1"/>
  <c r="J314" i="1"/>
  <c r="L314" i="1" s="1"/>
  <c r="D314" i="1"/>
  <c r="J313" i="1"/>
  <c r="L313" i="1" s="1"/>
  <c r="D313" i="1"/>
  <c r="J312" i="1"/>
  <c r="L312" i="1" s="1"/>
  <c r="D312" i="1"/>
  <c r="J311" i="1"/>
  <c r="L311" i="1" s="1"/>
  <c r="D311" i="1"/>
  <c r="J310" i="1"/>
  <c r="L310" i="1" s="1"/>
  <c r="D310" i="1"/>
  <c r="J309" i="1"/>
  <c r="L309" i="1" s="1"/>
  <c r="D309" i="1"/>
  <c r="J308" i="1"/>
  <c r="L308" i="1" s="1"/>
  <c r="D308" i="1"/>
  <c r="J307" i="1"/>
  <c r="L307" i="1" s="1"/>
  <c r="D307" i="1"/>
  <c r="J306" i="1"/>
  <c r="L306" i="1" s="1"/>
  <c r="D306" i="1"/>
  <c r="J305" i="1"/>
  <c r="L305" i="1" s="1"/>
  <c r="D305" i="1"/>
  <c r="J304" i="1"/>
  <c r="L304" i="1" s="1"/>
  <c r="D304" i="1"/>
  <c r="J303" i="1"/>
  <c r="L303" i="1" s="1"/>
  <c r="D303" i="1"/>
  <c r="L302" i="1"/>
  <c r="J302" i="1"/>
  <c r="D302" i="1"/>
  <c r="J301" i="1"/>
  <c r="L301" i="1" s="1"/>
  <c r="D301" i="1"/>
  <c r="J300" i="1"/>
  <c r="L300" i="1" s="1"/>
  <c r="D300" i="1"/>
  <c r="J299" i="1"/>
  <c r="L299" i="1" s="1"/>
  <c r="D299" i="1"/>
  <c r="J298" i="1"/>
  <c r="L298" i="1" s="1"/>
  <c r="D298" i="1"/>
  <c r="J297" i="1"/>
  <c r="L297" i="1" s="1"/>
  <c r="D297" i="1"/>
  <c r="J296" i="1"/>
  <c r="L296" i="1" s="1"/>
  <c r="D296" i="1"/>
  <c r="J295" i="1"/>
  <c r="L295" i="1" s="1"/>
  <c r="D295" i="1"/>
  <c r="J294" i="1"/>
  <c r="L294" i="1" s="1"/>
  <c r="D294" i="1"/>
  <c r="J293" i="1"/>
  <c r="L293" i="1" s="1"/>
  <c r="D293" i="1"/>
  <c r="J292" i="1"/>
  <c r="L292" i="1" s="1"/>
  <c r="D292" i="1"/>
  <c r="J291" i="1"/>
  <c r="L291" i="1" s="1"/>
  <c r="D291" i="1"/>
  <c r="J290" i="1"/>
  <c r="L290" i="1" s="1"/>
  <c r="D290" i="1"/>
  <c r="J289" i="1"/>
  <c r="L289" i="1" s="1"/>
  <c r="D289" i="1"/>
  <c r="J288" i="1"/>
  <c r="L288" i="1" s="1"/>
  <c r="D288" i="1"/>
  <c r="J287" i="1"/>
  <c r="L287" i="1" s="1"/>
  <c r="D287" i="1"/>
  <c r="J286" i="1"/>
  <c r="L286" i="1" s="1"/>
  <c r="D286" i="1"/>
  <c r="J285" i="1"/>
  <c r="L285" i="1" s="1"/>
  <c r="D285" i="1"/>
  <c r="J284" i="1"/>
  <c r="L284" i="1" s="1"/>
  <c r="D284" i="1"/>
  <c r="J283" i="1"/>
  <c r="L283" i="1" s="1"/>
  <c r="D283" i="1"/>
  <c r="J282" i="1"/>
  <c r="L282" i="1" s="1"/>
  <c r="D282" i="1"/>
  <c r="J281" i="1"/>
  <c r="L281" i="1" s="1"/>
  <c r="D281" i="1"/>
  <c r="J280" i="1"/>
  <c r="L280" i="1" s="1"/>
  <c r="D280" i="1"/>
  <c r="J279" i="1"/>
  <c r="L279" i="1" s="1"/>
  <c r="D279" i="1"/>
  <c r="J278" i="1"/>
  <c r="L278" i="1" s="1"/>
  <c r="D278" i="1"/>
  <c r="J277" i="1"/>
  <c r="L277" i="1" s="1"/>
  <c r="D277" i="1"/>
  <c r="L276" i="1"/>
  <c r="J276" i="1"/>
  <c r="D276" i="1"/>
  <c r="J275" i="1"/>
  <c r="L275" i="1" s="1"/>
  <c r="D275" i="1"/>
  <c r="J274" i="1"/>
  <c r="L274" i="1" s="1"/>
  <c r="D274" i="1"/>
  <c r="J273" i="1"/>
  <c r="L273" i="1" s="1"/>
  <c r="D273" i="1"/>
  <c r="J272" i="1"/>
  <c r="L272" i="1" s="1"/>
  <c r="D272" i="1"/>
  <c r="J271" i="1"/>
  <c r="L271" i="1" s="1"/>
  <c r="D271" i="1"/>
  <c r="J270" i="1"/>
  <c r="L270" i="1" s="1"/>
  <c r="D270" i="1"/>
  <c r="J269" i="1"/>
  <c r="L269" i="1" s="1"/>
  <c r="D269" i="1"/>
  <c r="J268" i="1"/>
  <c r="L268" i="1" s="1"/>
  <c r="D268" i="1"/>
  <c r="J267" i="1"/>
  <c r="L267" i="1" s="1"/>
  <c r="D267" i="1"/>
  <c r="J266" i="1"/>
  <c r="L266" i="1" s="1"/>
  <c r="D266" i="1"/>
  <c r="J265" i="1"/>
  <c r="L265" i="1" s="1"/>
  <c r="D265" i="1"/>
  <c r="J264" i="1"/>
  <c r="L264" i="1" s="1"/>
  <c r="D264" i="1"/>
  <c r="L263" i="1"/>
  <c r="J263" i="1"/>
  <c r="D263" i="1"/>
  <c r="J262" i="1"/>
  <c r="L262" i="1" s="1"/>
  <c r="D262" i="1"/>
  <c r="J261" i="1"/>
  <c r="L261" i="1" s="1"/>
  <c r="D261" i="1"/>
  <c r="L260" i="1"/>
  <c r="J260" i="1"/>
  <c r="D260" i="1"/>
  <c r="J259" i="1"/>
  <c r="L259" i="1" s="1"/>
  <c r="D259" i="1"/>
  <c r="J258" i="1"/>
  <c r="L258" i="1" s="1"/>
  <c r="D258" i="1"/>
  <c r="J257" i="1"/>
  <c r="L257" i="1" s="1"/>
  <c r="D257" i="1"/>
  <c r="J256" i="1"/>
  <c r="L256" i="1" s="1"/>
  <c r="D256" i="1"/>
  <c r="J255" i="1"/>
  <c r="L255" i="1" s="1"/>
  <c r="D255" i="1"/>
  <c r="J254" i="1"/>
  <c r="L254" i="1" s="1"/>
  <c r="D254" i="1"/>
  <c r="J253" i="1"/>
  <c r="L253" i="1" s="1"/>
  <c r="D253" i="1"/>
  <c r="J252" i="1"/>
  <c r="L252" i="1" s="1"/>
  <c r="D252" i="1"/>
  <c r="J251" i="1"/>
  <c r="L251" i="1" s="1"/>
  <c r="D251" i="1"/>
  <c r="J250" i="1"/>
  <c r="L250" i="1" s="1"/>
  <c r="D250" i="1"/>
  <c r="J249" i="1"/>
  <c r="L249" i="1" s="1"/>
  <c r="D249" i="1"/>
  <c r="J248" i="1"/>
  <c r="L248" i="1" s="1"/>
  <c r="D248" i="1"/>
  <c r="J247" i="1"/>
  <c r="L247" i="1" s="1"/>
  <c r="D247" i="1"/>
  <c r="J246" i="1"/>
  <c r="L246" i="1" s="1"/>
  <c r="D246" i="1"/>
  <c r="J245" i="1"/>
  <c r="L245" i="1" s="1"/>
  <c r="D245" i="1"/>
  <c r="J244" i="1"/>
  <c r="L244" i="1" s="1"/>
  <c r="D244" i="1"/>
  <c r="J243" i="1"/>
  <c r="L243" i="1" s="1"/>
  <c r="D243" i="1"/>
  <c r="J242" i="1"/>
  <c r="L242" i="1" s="1"/>
  <c r="D242" i="1"/>
  <c r="L241" i="1"/>
  <c r="J241" i="1"/>
  <c r="D241" i="1"/>
  <c r="J240" i="1"/>
  <c r="L240" i="1" s="1"/>
  <c r="D240" i="1"/>
  <c r="J239" i="1"/>
  <c r="L239" i="1" s="1"/>
  <c r="D239" i="1"/>
  <c r="J238" i="1"/>
  <c r="L238" i="1" s="1"/>
  <c r="D238" i="1"/>
  <c r="J237" i="1"/>
  <c r="L237" i="1" s="1"/>
  <c r="D237" i="1"/>
  <c r="J236" i="1"/>
  <c r="L236" i="1" s="1"/>
  <c r="D236" i="1"/>
  <c r="J235" i="1"/>
  <c r="L235" i="1" s="1"/>
  <c r="D235" i="1"/>
  <c r="J234" i="1"/>
  <c r="L234" i="1" s="1"/>
  <c r="D234" i="1"/>
  <c r="J233" i="1"/>
  <c r="L233" i="1" s="1"/>
  <c r="D233" i="1"/>
  <c r="J232" i="1"/>
  <c r="L232" i="1" s="1"/>
  <c r="D232" i="1"/>
  <c r="J231" i="1"/>
  <c r="L231" i="1" s="1"/>
  <c r="D231" i="1"/>
  <c r="J230" i="1"/>
  <c r="L230" i="1" s="1"/>
  <c r="D230" i="1"/>
  <c r="L229" i="1"/>
  <c r="J229" i="1"/>
  <c r="D229" i="1"/>
  <c r="J228" i="1"/>
  <c r="L228" i="1" s="1"/>
  <c r="D228" i="1"/>
  <c r="J227" i="1"/>
  <c r="L227" i="1" s="1"/>
  <c r="D227" i="1"/>
  <c r="J226" i="1"/>
  <c r="L226" i="1" s="1"/>
  <c r="D226" i="1"/>
  <c r="J225" i="1"/>
  <c r="L225" i="1" s="1"/>
  <c r="D225" i="1"/>
  <c r="J224" i="1"/>
  <c r="L224" i="1" s="1"/>
  <c r="D224" i="1"/>
  <c r="J223" i="1"/>
  <c r="L223" i="1" s="1"/>
  <c r="D223" i="1"/>
  <c r="L222" i="1"/>
  <c r="J222" i="1"/>
  <c r="D222" i="1"/>
  <c r="J221" i="1"/>
  <c r="L221" i="1" s="1"/>
  <c r="D221" i="1"/>
  <c r="J220" i="1"/>
  <c r="L220" i="1" s="1"/>
  <c r="D220" i="1"/>
  <c r="J219" i="1"/>
  <c r="L219" i="1" s="1"/>
  <c r="D219" i="1"/>
  <c r="J218" i="1"/>
  <c r="L218" i="1" s="1"/>
  <c r="D218" i="1"/>
  <c r="J217" i="1"/>
  <c r="L217" i="1" s="1"/>
  <c r="D217" i="1"/>
  <c r="L216" i="1"/>
  <c r="J216" i="1"/>
  <c r="D216" i="1"/>
  <c r="J215" i="1"/>
  <c r="L215" i="1" s="1"/>
  <c r="D215" i="1"/>
  <c r="J214" i="1"/>
  <c r="L214" i="1" s="1"/>
  <c r="D214" i="1"/>
  <c r="J213" i="1"/>
  <c r="L213" i="1" s="1"/>
  <c r="D213" i="1"/>
  <c r="L212" i="1"/>
  <c r="J212" i="1"/>
  <c r="D212" i="1"/>
  <c r="J211" i="1"/>
  <c r="L211" i="1" s="1"/>
  <c r="D211" i="1"/>
  <c r="J210" i="1"/>
  <c r="L210" i="1" s="1"/>
  <c r="D210" i="1"/>
  <c r="J209" i="1"/>
  <c r="L209" i="1" s="1"/>
  <c r="D209" i="1"/>
  <c r="J208" i="1"/>
  <c r="L208" i="1" s="1"/>
  <c r="D208" i="1"/>
  <c r="J207" i="1"/>
  <c r="L207" i="1" s="1"/>
  <c r="D207" i="1"/>
  <c r="J206" i="1"/>
  <c r="L206" i="1" s="1"/>
  <c r="D206" i="1"/>
  <c r="L205" i="1"/>
  <c r="J205" i="1"/>
  <c r="D205" i="1"/>
  <c r="J204" i="1"/>
  <c r="L204" i="1" s="1"/>
  <c r="D204" i="1"/>
  <c r="J203" i="1"/>
  <c r="L203" i="1" s="1"/>
  <c r="D203" i="1"/>
  <c r="J202" i="1"/>
  <c r="L202" i="1" s="1"/>
  <c r="D202" i="1"/>
  <c r="J201" i="1"/>
  <c r="L201" i="1" s="1"/>
  <c r="D201" i="1"/>
  <c r="J200" i="1"/>
  <c r="L200" i="1" s="1"/>
  <c r="D200" i="1"/>
  <c r="J199" i="1"/>
  <c r="L199" i="1" s="1"/>
  <c r="D199" i="1"/>
  <c r="J198" i="1"/>
  <c r="L198" i="1" s="1"/>
  <c r="D198" i="1"/>
  <c r="J197" i="1"/>
  <c r="L197" i="1" s="1"/>
  <c r="D197" i="1"/>
  <c r="J196" i="1"/>
  <c r="L196" i="1" s="1"/>
  <c r="D196" i="1"/>
  <c r="J195" i="1"/>
  <c r="L195" i="1" s="1"/>
  <c r="D195" i="1"/>
  <c r="J194" i="1"/>
  <c r="L194" i="1" s="1"/>
  <c r="D194" i="1"/>
  <c r="J193" i="1"/>
  <c r="L193" i="1" s="1"/>
  <c r="D193" i="1"/>
  <c r="J192" i="1"/>
  <c r="L192" i="1" s="1"/>
  <c r="D192" i="1"/>
  <c r="J191" i="1"/>
  <c r="L191" i="1" s="1"/>
  <c r="D191" i="1"/>
  <c r="J190" i="1"/>
  <c r="L190" i="1" s="1"/>
  <c r="D190" i="1"/>
  <c r="J189" i="1"/>
  <c r="L189" i="1" s="1"/>
  <c r="D189" i="1"/>
  <c r="J188" i="1"/>
  <c r="L188" i="1" s="1"/>
  <c r="D188" i="1"/>
  <c r="J187" i="1"/>
  <c r="L187" i="1" s="1"/>
  <c r="D187" i="1"/>
  <c r="J186" i="1"/>
  <c r="L186" i="1" s="1"/>
  <c r="D186" i="1"/>
  <c r="J185" i="1"/>
  <c r="L185" i="1" s="1"/>
  <c r="D185" i="1"/>
  <c r="J184" i="1"/>
  <c r="L184" i="1" s="1"/>
  <c r="D184" i="1"/>
  <c r="J183" i="1"/>
  <c r="L183" i="1" s="1"/>
  <c r="D183" i="1"/>
  <c r="J182" i="1"/>
  <c r="L182" i="1" s="1"/>
  <c r="D182" i="1"/>
  <c r="J181" i="1"/>
  <c r="L181" i="1" s="1"/>
  <c r="D181" i="1"/>
  <c r="L180" i="1"/>
  <c r="J180" i="1"/>
  <c r="D180" i="1"/>
  <c r="J179" i="1"/>
  <c r="L179" i="1" s="1"/>
  <c r="D179" i="1"/>
  <c r="J178" i="1"/>
  <c r="L178" i="1" s="1"/>
  <c r="D178" i="1"/>
  <c r="J177" i="1"/>
  <c r="L177" i="1" s="1"/>
  <c r="D177" i="1"/>
  <c r="J176" i="1"/>
  <c r="L176" i="1" s="1"/>
  <c r="D176" i="1"/>
  <c r="J175" i="1"/>
  <c r="L175" i="1" s="1"/>
  <c r="D175" i="1"/>
  <c r="L174" i="1"/>
  <c r="J174" i="1"/>
  <c r="D174" i="1"/>
  <c r="L173" i="1"/>
  <c r="J173" i="1"/>
  <c r="D173" i="1"/>
  <c r="J172" i="1"/>
  <c r="L172" i="1" s="1"/>
  <c r="D172" i="1"/>
  <c r="L171" i="1"/>
  <c r="J171" i="1"/>
  <c r="D171" i="1"/>
  <c r="J170" i="1"/>
  <c r="L170" i="1" s="1"/>
  <c r="D170" i="1"/>
  <c r="J169" i="1"/>
  <c r="L169" i="1" s="1"/>
  <c r="D169" i="1"/>
  <c r="J168" i="1"/>
  <c r="L168" i="1" s="1"/>
  <c r="D168" i="1"/>
  <c r="J167" i="1"/>
  <c r="L167" i="1" s="1"/>
  <c r="D167" i="1"/>
  <c r="J166" i="1"/>
  <c r="L166" i="1" s="1"/>
  <c r="D166" i="1"/>
  <c r="J165" i="1"/>
  <c r="L165" i="1" s="1"/>
  <c r="D165" i="1"/>
  <c r="J164" i="1"/>
  <c r="L164" i="1" s="1"/>
  <c r="D164" i="1"/>
  <c r="J163" i="1"/>
  <c r="L163" i="1" s="1"/>
  <c r="D163" i="1"/>
  <c r="J162" i="1"/>
  <c r="L162" i="1" s="1"/>
  <c r="D162" i="1"/>
  <c r="J161" i="1"/>
  <c r="L161" i="1" s="1"/>
  <c r="D161" i="1"/>
  <c r="J160" i="1"/>
  <c r="L160" i="1" s="1"/>
  <c r="D160" i="1"/>
  <c r="J159" i="1"/>
  <c r="L159" i="1" s="1"/>
  <c r="D159" i="1"/>
  <c r="J158" i="1"/>
  <c r="L158" i="1" s="1"/>
  <c r="D158" i="1"/>
  <c r="J157" i="1"/>
  <c r="L157" i="1" s="1"/>
  <c r="D157" i="1"/>
  <c r="J156" i="1"/>
  <c r="L156" i="1" s="1"/>
  <c r="D156" i="1"/>
  <c r="L155" i="1"/>
  <c r="J155" i="1"/>
  <c r="D155" i="1"/>
  <c r="J154" i="1"/>
  <c r="L154" i="1" s="1"/>
  <c r="D154" i="1"/>
  <c r="J153" i="1"/>
  <c r="L153" i="1" s="1"/>
  <c r="D153" i="1"/>
  <c r="J152" i="1"/>
  <c r="L152" i="1" s="1"/>
  <c r="D152" i="1"/>
  <c r="J151" i="1"/>
  <c r="L151" i="1" s="1"/>
  <c r="D151" i="1"/>
  <c r="J150" i="1"/>
  <c r="L150" i="1" s="1"/>
  <c r="D150" i="1"/>
  <c r="J149" i="1"/>
  <c r="L149" i="1" s="1"/>
  <c r="D149" i="1"/>
  <c r="J148" i="1"/>
  <c r="L148" i="1" s="1"/>
  <c r="D148" i="1"/>
  <c r="J147" i="1"/>
  <c r="L147" i="1" s="1"/>
  <c r="D147" i="1"/>
  <c r="J146" i="1"/>
  <c r="L146" i="1" s="1"/>
  <c r="D146" i="1"/>
  <c r="J145" i="1"/>
  <c r="L145" i="1" s="1"/>
  <c r="D145" i="1"/>
  <c r="J144" i="1"/>
  <c r="L144" i="1" s="1"/>
  <c r="D144" i="1"/>
  <c r="J143" i="1"/>
  <c r="L143" i="1" s="1"/>
  <c r="D143" i="1"/>
  <c r="J142" i="1"/>
  <c r="L142" i="1" s="1"/>
  <c r="D142" i="1"/>
  <c r="J141" i="1"/>
  <c r="L141" i="1" s="1"/>
  <c r="D141" i="1"/>
  <c r="J140" i="1"/>
  <c r="L140" i="1" s="1"/>
  <c r="D140" i="1"/>
  <c r="J139" i="1"/>
  <c r="L139" i="1" s="1"/>
  <c r="D139" i="1"/>
  <c r="J138" i="1"/>
  <c r="L138" i="1" s="1"/>
  <c r="D138" i="1"/>
  <c r="J137" i="1"/>
  <c r="L137" i="1" s="1"/>
  <c r="D137" i="1"/>
  <c r="J136" i="1"/>
  <c r="L136" i="1" s="1"/>
  <c r="D136" i="1"/>
  <c r="L135" i="1"/>
  <c r="J135" i="1"/>
  <c r="D135" i="1"/>
  <c r="J134" i="1"/>
  <c r="L134" i="1" s="1"/>
  <c r="D134" i="1"/>
  <c r="J133" i="1"/>
  <c r="L133" i="1" s="1"/>
  <c r="D133" i="1"/>
  <c r="J132" i="1"/>
  <c r="L132" i="1" s="1"/>
  <c r="D132" i="1"/>
  <c r="J131" i="1"/>
  <c r="L131" i="1" s="1"/>
  <c r="D131" i="1"/>
  <c r="J130" i="1"/>
  <c r="L130" i="1" s="1"/>
  <c r="D130" i="1"/>
  <c r="J129" i="1"/>
  <c r="L129" i="1" s="1"/>
  <c r="D129" i="1"/>
  <c r="J128" i="1"/>
  <c r="L128" i="1" s="1"/>
  <c r="D128" i="1"/>
  <c r="J127" i="1"/>
  <c r="L127" i="1" s="1"/>
  <c r="D127" i="1"/>
  <c r="L126" i="1"/>
  <c r="J126" i="1"/>
  <c r="D126" i="1"/>
  <c r="J125" i="1"/>
  <c r="L125" i="1" s="1"/>
  <c r="D125" i="1"/>
  <c r="L124" i="1"/>
  <c r="D124" i="1"/>
  <c r="J123" i="1"/>
  <c r="L123" i="1" s="1"/>
  <c r="D123" i="1"/>
  <c r="J122" i="1"/>
  <c r="L122" i="1" s="1"/>
  <c r="D122" i="1"/>
  <c r="J121" i="1"/>
  <c r="L121" i="1" s="1"/>
  <c r="D121" i="1"/>
  <c r="J120" i="1"/>
  <c r="L120" i="1" s="1"/>
  <c r="D120" i="1"/>
  <c r="J119" i="1"/>
  <c r="L119" i="1" s="1"/>
  <c r="D119" i="1"/>
  <c r="J118" i="1"/>
  <c r="L118" i="1" s="1"/>
  <c r="D118" i="1"/>
  <c r="J117" i="1"/>
  <c r="L117" i="1" s="1"/>
  <c r="D117" i="1"/>
  <c r="J116" i="1"/>
  <c r="L116" i="1" s="1"/>
  <c r="D116" i="1"/>
  <c r="J115" i="1"/>
  <c r="L115" i="1" s="1"/>
  <c r="D115" i="1"/>
  <c r="L114" i="1"/>
  <c r="J114" i="1"/>
  <c r="D114" i="1"/>
  <c r="J113" i="1"/>
  <c r="L113" i="1" s="1"/>
  <c r="D113" i="1"/>
  <c r="J112" i="1"/>
  <c r="L112" i="1" s="1"/>
  <c r="D112" i="1"/>
  <c r="J111" i="1"/>
  <c r="L111" i="1" s="1"/>
  <c r="D111" i="1"/>
  <c r="J110" i="1"/>
  <c r="L110" i="1" s="1"/>
  <c r="D110" i="1"/>
  <c r="J109" i="1"/>
  <c r="L109" i="1" s="1"/>
  <c r="D109" i="1"/>
  <c r="J108" i="1"/>
  <c r="L108" i="1" s="1"/>
  <c r="D108" i="1"/>
  <c r="J107" i="1"/>
  <c r="L107" i="1" s="1"/>
  <c r="D107" i="1"/>
  <c r="J106" i="1"/>
  <c r="L106" i="1" s="1"/>
  <c r="D106" i="1"/>
  <c r="J105" i="1"/>
  <c r="L105" i="1" s="1"/>
  <c r="D105" i="1"/>
  <c r="J104" i="1"/>
  <c r="L104" i="1" s="1"/>
  <c r="D104" i="1"/>
  <c r="J103" i="1"/>
  <c r="L103" i="1" s="1"/>
  <c r="D103" i="1"/>
  <c r="J102" i="1"/>
  <c r="L102" i="1" s="1"/>
  <c r="D102" i="1"/>
  <c r="J101" i="1"/>
  <c r="L101" i="1" s="1"/>
  <c r="D101" i="1"/>
  <c r="J100" i="1"/>
  <c r="L100" i="1" s="1"/>
  <c r="D100" i="1"/>
  <c r="J99" i="1"/>
  <c r="L99" i="1" s="1"/>
  <c r="D99" i="1"/>
  <c r="J98" i="1"/>
  <c r="L98" i="1" s="1"/>
  <c r="D98" i="1"/>
  <c r="J97" i="1"/>
  <c r="L97" i="1" s="1"/>
  <c r="D97" i="1"/>
  <c r="J96" i="1"/>
  <c r="L96" i="1" s="1"/>
  <c r="D96" i="1"/>
  <c r="J95" i="1"/>
  <c r="L95" i="1" s="1"/>
  <c r="D95" i="1"/>
  <c r="L94" i="1"/>
  <c r="J94" i="1"/>
  <c r="D94" i="1"/>
  <c r="J93" i="1"/>
  <c r="L93" i="1" s="1"/>
  <c r="D93" i="1"/>
  <c r="J92" i="1"/>
  <c r="L92" i="1" s="1"/>
  <c r="D92" i="1"/>
  <c r="J91" i="1"/>
  <c r="L91" i="1" s="1"/>
  <c r="D91" i="1"/>
  <c r="L90" i="1"/>
  <c r="J90" i="1"/>
  <c r="D90" i="1"/>
  <c r="J89" i="1"/>
  <c r="L89" i="1" s="1"/>
  <c r="D89" i="1"/>
  <c r="J88" i="1"/>
  <c r="L88" i="1" s="1"/>
  <c r="D88" i="1"/>
  <c r="J87" i="1"/>
  <c r="L87" i="1" s="1"/>
  <c r="D87" i="1"/>
  <c r="J86" i="1"/>
  <c r="L86" i="1" s="1"/>
  <c r="D86" i="1"/>
  <c r="J85" i="1"/>
  <c r="L85" i="1" s="1"/>
  <c r="D85" i="1"/>
  <c r="J84" i="1"/>
  <c r="L84" i="1" s="1"/>
  <c r="D84" i="1"/>
  <c r="L83" i="1"/>
  <c r="J83" i="1"/>
  <c r="D83" i="1"/>
  <c r="J82" i="1"/>
  <c r="L82" i="1" s="1"/>
  <c r="D82" i="1"/>
  <c r="J81" i="1"/>
  <c r="L81" i="1" s="1"/>
  <c r="D81" i="1"/>
  <c r="J80" i="1"/>
  <c r="L80" i="1" s="1"/>
  <c r="D80" i="1"/>
  <c r="J79" i="1"/>
  <c r="L79" i="1" s="1"/>
  <c r="D79" i="1"/>
  <c r="L78" i="1"/>
  <c r="J78" i="1"/>
  <c r="D78" i="1"/>
  <c r="J77" i="1"/>
  <c r="L77" i="1" s="1"/>
  <c r="D77" i="1"/>
  <c r="J76" i="1"/>
  <c r="L76" i="1" s="1"/>
  <c r="D76" i="1"/>
  <c r="J75" i="1"/>
  <c r="L75" i="1" s="1"/>
  <c r="D75" i="1"/>
  <c r="J74" i="1"/>
  <c r="L74" i="1" s="1"/>
  <c r="D74" i="1"/>
  <c r="J73" i="1"/>
  <c r="L73" i="1" s="1"/>
  <c r="D73" i="1"/>
  <c r="J72" i="1"/>
  <c r="L72" i="1" s="1"/>
  <c r="D72" i="1"/>
  <c r="J71" i="1"/>
  <c r="L71" i="1" s="1"/>
  <c r="D71" i="1"/>
  <c r="J70" i="1"/>
  <c r="L70" i="1" s="1"/>
  <c r="D70" i="1"/>
  <c r="J69" i="1"/>
  <c r="L69" i="1" s="1"/>
  <c r="D69" i="1"/>
  <c r="J68" i="1"/>
  <c r="L68" i="1" s="1"/>
  <c r="D68" i="1"/>
  <c r="J67" i="1"/>
  <c r="L67" i="1" s="1"/>
  <c r="D67" i="1"/>
  <c r="J66" i="1"/>
  <c r="L66" i="1" s="1"/>
  <c r="D66" i="1"/>
  <c r="J65" i="1"/>
  <c r="L65" i="1" s="1"/>
  <c r="D65" i="1"/>
  <c r="J64" i="1"/>
  <c r="L64" i="1" s="1"/>
  <c r="D64" i="1"/>
  <c r="J63" i="1"/>
  <c r="L63" i="1" s="1"/>
  <c r="D63" i="1"/>
  <c r="J62" i="1"/>
  <c r="L62" i="1" s="1"/>
  <c r="D62" i="1"/>
  <c r="J61" i="1"/>
  <c r="L61" i="1" s="1"/>
  <c r="D61" i="1"/>
  <c r="J60" i="1"/>
  <c r="L60" i="1" s="1"/>
  <c r="D60" i="1"/>
  <c r="J59" i="1"/>
  <c r="L59" i="1" s="1"/>
  <c r="D59" i="1"/>
  <c r="L58" i="1"/>
  <c r="J58" i="1"/>
  <c r="D58" i="1"/>
  <c r="J57" i="1"/>
  <c r="L57" i="1" s="1"/>
  <c r="D57" i="1"/>
  <c r="J56" i="1"/>
  <c r="L56" i="1" s="1"/>
  <c r="D56" i="1"/>
  <c r="J55" i="1"/>
  <c r="L55" i="1" s="1"/>
  <c r="D55" i="1"/>
  <c r="L54" i="1"/>
  <c r="J54" i="1"/>
  <c r="D54" i="1"/>
  <c r="J53" i="1"/>
  <c r="L53" i="1" s="1"/>
  <c r="D53" i="1"/>
  <c r="J52" i="1"/>
  <c r="L52" i="1" s="1"/>
  <c r="D52" i="1"/>
  <c r="L51" i="1"/>
  <c r="J51" i="1"/>
  <c r="D51" i="1"/>
  <c r="L50" i="1"/>
  <c r="J50" i="1"/>
  <c r="D50" i="1"/>
  <c r="J49" i="1"/>
  <c r="L49" i="1" s="1"/>
  <c r="D49" i="1"/>
  <c r="J48" i="1"/>
  <c r="L48" i="1" s="1"/>
  <c r="D48" i="1"/>
  <c r="J47" i="1"/>
  <c r="L47" i="1" s="1"/>
  <c r="D47" i="1"/>
  <c r="J46" i="1"/>
  <c r="L46" i="1" s="1"/>
  <c r="D46" i="1"/>
  <c r="J45" i="1"/>
  <c r="L45" i="1" s="1"/>
  <c r="D45" i="1"/>
  <c r="J44" i="1"/>
  <c r="L44" i="1" s="1"/>
  <c r="D44" i="1"/>
  <c r="J43" i="1"/>
  <c r="L43" i="1" s="1"/>
  <c r="D43" i="1"/>
  <c r="J42" i="1"/>
  <c r="L42" i="1" s="1"/>
  <c r="D42" i="1"/>
  <c r="J41" i="1"/>
  <c r="L41" i="1" s="1"/>
  <c r="D41" i="1"/>
  <c r="J40" i="1"/>
  <c r="L40" i="1" s="1"/>
  <c r="D40" i="1"/>
  <c r="J39" i="1"/>
  <c r="L39" i="1" s="1"/>
  <c r="D39" i="1"/>
  <c r="J38" i="1"/>
  <c r="L38" i="1" s="1"/>
  <c r="D38" i="1"/>
  <c r="J37" i="1"/>
  <c r="L37" i="1" s="1"/>
  <c r="D37" i="1"/>
  <c r="J36" i="1"/>
  <c r="L36" i="1" s="1"/>
  <c r="D36" i="1"/>
  <c r="J35" i="1"/>
  <c r="L35" i="1" s="1"/>
  <c r="D35" i="1"/>
  <c r="J34" i="1"/>
  <c r="L34" i="1" s="1"/>
  <c r="D34" i="1"/>
  <c r="J33" i="1"/>
  <c r="L33" i="1" s="1"/>
  <c r="D33" i="1"/>
  <c r="L32" i="1"/>
  <c r="J32" i="1"/>
  <c r="D32" i="1"/>
  <c r="J31" i="1"/>
  <c r="L31" i="1" s="1"/>
  <c r="D31" i="1"/>
  <c r="J30" i="1"/>
  <c r="L30" i="1" s="1"/>
  <c r="D30" i="1"/>
  <c r="J29" i="1"/>
  <c r="L29" i="1" s="1"/>
  <c r="D29" i="1"/>
  <c r="J28" i="1"/>
  <c r="L28" i="1" s="1"/>
  <c r="D28" i="1"/>
  <c r="J27" i="1"/>
  <c r="L27" i="1" s="1"/>
  <c r="D27" i="1"/>
  <c r="J26" i="1"/>
  <c r="L26" i="1" s="1"/>
  <c r="D26" i="1"/>
  <c r="J25" i="1"/>
  <c r="L25" i="1" s="1"/>
  <c r="D25" i="1"/>
  <c r="J24" i="1"/>
  <c r="L24" i="1" s="1"/>
  <c r="D24" i="1"/>
  <c r="J23" i="1"/>
  <c r="L23" i="1" s="1"/>
  <c r="D23" i="1"/>
  <c r="J22" i="1"/>
  <c r="L22" i="1" s="1"/>
  <c r="D22" i="1"/>
  <c r="J21" i="1"/>
  <c r="L21" i="1" s="1"/>
  <c r="D21" i="1"/>
  <c r="J20" i="1"/>
  <c r="L20" i="1" s="1"/>
  <c r="D20" i="1"/>
  <c r="J19" i="1"/>
  <c r="L19" i="1" s="1"/>
  <c r="D19" i="1"/>
  <c r="L18" i="1"/>
  <c r="J18" i="1"/>
  <c r="D18" i="1"/>
  <c r="J17" i="1"/>
  <c r="L17" i="1" s="1"/>
  <c r="D17" i="1"/>
  <c r="J16" i="1"/>
  <c r="L16" i="1" s="1"/>
  <c r="D16" i="1"/>
  <c r="J15" i="1"/>
  <c r="L15" i="1" s="1"/>
  <c r="D15" i="1"/>
  <c r="J14" i="1"/>
  <c r="L14" i="1" s="1"/>
  <c r="D14" i="1"/>
  <c r="J13" i="1"/>
  <c r="L13" i="1" s="1"/>
  <c r="D13" i="1"/>
  <c r="J12" i="1"/>
  <c r="L12" i="1" s="1"/>
  <c r="D12" i="1"/>
  <c r="J11" i="1"/>
  <c r="L11" i="1" s="1"/>
  <c r="D11" i="1"/>
  <c r="J10" i="1"/>
  <c r="L10" i="1" s="1"/>
  <c r="D10" i="1"/>
  <c r="J9" i="1"/>
  <c r="L9" i="1" s="1"/>
  <c r="D9" i="1"/>
  <c r="J8" i="1"/>
  <c r="L8" i="1" s="1"/>
  <c r="D8" i="1"/>
  <c r="J7" i="1"/>
  <c r="L7" i="1" s="1"/>
  <c r="D7" i="1"/>
  <c r="J6" i="1"/>
  <c r="L6" i="1" s="1"/>
  <c r="D6" i="1"/>
  <c r="J5" i="1"/>
  <c r="L5" i="1" s="1"/>
  <c r="D5" i="1"/>
  <c r="J4" i="1"/>
  <c r="L4" i="1" s="1"/>
  <c r="D4" i="1"/>
  <c r="J3" i="1"/>
  <c r="L3" i="1" s="1"/>
  <c r="D3" i="1"/>
  <c r="J2" i="1"/>
  <c r="L2" i="1" s="1"/>
  <c r="D2" i="1"/>
</calcChain>
</file>

<file path=xl/sharedStrings.xml><?xml version="1.0" encoding="utf-8"?>
<sst xmlns="http://schemas.openxmlformats.org/spreadsheetml/2006/main" count="1300" uniqueCount="1300">
  <si>
    <t>Depth(m)</t>
  </si>
  <si>
    <t>sample</t>
  </si>
  <si>
    <t>Age</t>
  </si>
  <si>
    <t>Na</t>
  </si>
  <si>
    <t>NH4</t>
  </si>
  <si>
    <t>K</t>
  </si>
  <si>
    <t>Mg</t>
  </si>
  <si>
    <t>Ca</t>
  </si>
  <si>
    <t>NSS Ca</t>
  </si>
  <si>
    <t>d excess</t>
  </si>
  <si>
    <t>nssNa</t>
  </si>
  <si>
    <t>dD</t>
  </si>
  <si>
    <t>IND-25/5</t>
  </si>
  <si>
    <t>IND-25/10</t>
  </si>
  <si>
    <t>IND-25/15</t>
  </si>
  <si>
    <t>IND-25/20</t>
  </si>
  <si>
    <t>IND-25/25</t>
  </si>
  <si>
    <t>IND-25/30</t>
  </si>
  <si>
    <t>IND-25/35</t>
  </si>
  <si>
    <t>IND-25/40</t>
  </si>
  <si>
    <t>IND-25/45</t>
  </si>
  <si>
    <t>IND-25/50</t>
  </si>
  <si>
    <t>IND-25/55</t>
  </si>
  <si>
    <t>IND-25/60</t>
  </si>
  <si>
    <t>IND-25/65</t>
  </si>
  <si>
    <t>IND-25/70</t>
  </si>
  <si>
    <t>IND-25/75</t>
  </si>
  <si>
    <t>IND-25/80</t>
  </si>
  <si>
    <t>IND-25/85</t>
  </si>
  <si>
    <t>IND-25/90</t>
  </si>
  <si>
    <t>IND-25/95</t>
  </si>
  <si>
    <t>IND-25/100</t>
  </si>
  <si>
    <t>IND-25/105</t>
  </si>
  <si>
    <t>IND-25/110</t>
  </si>
  <si>
    <t>IND-25/115</t>
  </si>
  <si>
    <t>IND-25/120</t>
  </si>
  <si>
    <t>IND-25/125</t>
  </si>
  <si>
    <t>IND-25/130</t>
  </si>
  <si>
    <t>IND-25/135</t>
  </si>
  <si>
    <t>IND-25/140</t>
  </si>
  <si>
    <t>IND-25/145</t>
  </si>
  <si>
    <t>IND-25/150</t>
  </si>
  <si>
    <t>IND-25/155</t>
  </si>
  <si>
    <t>IND-25/160</t>
  </si>
  <si>
    <t>IND-25/165</t>
  </si>
  <si>
    <t>IND-25/170</t>
  </si>
  <si>
    <t>IND-25/175</t>
  </si>
  <si>
    <t>IND-25/180</t>
  </si>
  <si>
    <t>IND-25/185</t>
  </si>
  <si>
    <t>IND-25/190</t>
  </si>
  <si>
    <t>IND-25/195</t>
  </si>
  <si>
    <t>IND-25/200</t>
  </si>
  <si>
    <t>IND-25/205</t>
  </si>
  <si>
    <t>IND-25/210</t>
  </si>
  <si>
    <t>IND-25/215</t>
  </si>
  <si>
    <t>IND-25/220</t>
  </si>
  <si>
    <t>IND-25/230</t>
  </si>
  <si>
    <t>IND-25/235</t>
  </si>
  <si>
    <t>IND-25/240</t>
  </si>
  <si>
    <t>IND-25/245</t>
  </si>
  <si>
    <t>IND-25/250</t>
  </si>
  <si>
    <t>IND-25/255</t>
  </si>
  <si>
    <t>IND-25/260</t>
  </si>
  <si>
    <t>IND-25/265</t>
  </si>
  <si>
    <t>IND-25/270</t>
  </si>
  <si>
    <t>IND-25/275</t>
  </si>
  <si>
    <t>IND-25/280</t>
  </si>
  <si>
    <t>IND-25/285</t>
  </si>
  <si>
    <t>IND-25/290</t>
  </si>
  <si>
    <t>IND-25/295</t>
  </si>
  <si>
    <t>IND-25/300</t>
  </si>
  <si>
    <t>IND-25/305</t>
  </si>
  <si>
    <t>IND-25/310</t>
  </si>
  <si>
    <t>IND-25/320</t>
  </si>
  <si>
    <t>IND-25/325</t>
  </si>
  <si>
    <t>IND-25/330</t>
  </si>
  <si>
    <t>IND-25/335</t>
  </si>
  <si>
    <t>IND-25/340</t>
  </si>
  <si>
    <t>IND-25/345</t>
  </si>
  <si>
    <t>IND-25/350</t>
  </si>
  <si>
    <t>IND-25/355</t>
  </si>
  <si>
    <t>IND-25/360</t>
  </si>
  <si>
    <t>IND-25/365</t>
  </si>
  <si>
    <t>IND-25/370</t>
  </si>
  <si>
    <t>IND-25/375</t>
  </si>
  <si>
    <t>IND-25/380</t>
  </si>
  <si>
    <t>IND-25/385</t>
  </si>
  <si>
    <t>IND-25/390</t>
  </si>
  <si>
    <t>IND-25/395</t>
  </si>
  <si>
    <t>IND-25/400</t>
  </si>
  <si>
    <t>IND-25/405</t>
  </si>
  <si>
    <t>IND-25/410</t>
  </si>
  <si>
    <t>IND-25/415</t>
  </si>
  <si>
    <t>IND-25/420</t>
  </si>
  <si>
    <t>IND-25/425</t>
  </si>
  <si>
    <t>IND-25/430</t>
  </si>
  <si>
    <t>IND-25/435</t>
  </si>
  <si>
    <t>IND-25/440</t>
  </si>
  <si>
    <t>IND-25/445</t>
  </si>
  <si>
    <t>IND-25/450</t>
  </si>
  <si>
    <t>IND-25/455</t>
  </si>
  <si>
    <t>IND-25/460</t>
  </si>
  <si>
    <t>IND-25/465</t>
  </si>
  <si>
    <t>IND-25/470</t>
  </si>
  <si>
    <t>IND-25/475</t>
  </si>
  <si>
    <t>IND-25/480</t>
  </si>
  <si>
    <t>IND-25/485</t>
  </si>
  <si>
    <t>IND-25/490</t>
  </si>
  <si>
    <t>IND-25/495</t>
  </si>
  <si>
    <t>IND-25/500</t>
  </si>
  <si>
    <t>IND-25/505</t>
  </si>
  <si>
    <t>IND-25/510</t>
  </si>
  <si>
    <t>IND-25/515</t>
  </si>
  <si>
    <t>IND-25/520</t>
  </si>
  <si>
    <t>IND-25/525</t>
  </si>
  <si>
    <t>IND-25/530</t>
  </si>
  <si>
    <t>IND-25/535</t>
  </si>
  <si>
    <t>IND-25/540</t>
  </si>
  <si>
    <t>IND-25/545</t>
  </si>
  <si>
    <t>IND-25/550</t>
  </si>
  <si>
    <t>IND-25/555</t>
  </si>
  <si>
    <t>IND-25/560</t>
  </si>
  <si>
    <t>IND-25/565</t>
  </si>
  <si>
    <t>IND-25/570</t>
  </si>
  <si>
    <t>IND-25/575</t>
  </si>
  <si>
    <t>IND-25/580</t>
  </si>
  <si>
    <t>IND-25/585</t>
  </si>
  <si>
    <t>IND-25/590</t>
  </si>
  <si>
    <t>IND-25/595</t>
  </si>
  <si>
    <t>IND-25/600</t>
  </si>
  <si>
    <t>IND-25/605</t>
  </si>
  <si>
    <t>IND-25/610</t>
  </si>
  <si>
    <t>IND-25/615</t>
  </si>
  <si>
    <t>IND-25/620</t>
  </si>
  <si>
    <t>IND-25/625</t>
  </si>
  <si>
    <t>n.a.</t>
  </si>
  <si>
    <t>IND-25/630</t>
  </si>
  <si>
    <t>IND-25/635</t>
  </si>
  <si>
    <t>IND-25/640</t>
  </si>
  <si>
    <t>IND-25/645</t>
  </si>
  <si>
    <t>IND-25/650</t>
  </si>
  <si>
    <t>IND-25/655</t>
  </si>
  <si>
    <t>IND-25/660</t>
  </si>
  <si>
    <t>IND-25/665</t>
  </si>
  <si>
    <t>IND-25/670</t>
  </si>
  <si>
    <t>IND-25/675</t>
  </si>
  <si>
    <t>IND-25/680</t>
  </si>
  <si>
    <t>IND-25/685</t>
  </si>
  <si>
    <t>IND-25/690</t>
  </si>
  <si>
    <t>IND-25/695</t>
  </si>
  <si>
    <t>IND-25/700</t>
  </si>
  <si>
    <t>IND-25/705</t>
  </si>
  <si>
    <t>IND-25/710</t>
  </si>
  <si>
    <t>IND-25/715</t>
  </si>
  <si>
    <t>IND-25/720</t>
  </si>
  <si>
    <t>IND-25/725</t>
  </si>
  <si>
    <t>IND-25/730</t>
  </si>
  <si>
    <t>IND-25/735</t>
  </si>
  <si>
    <t>IND-25/740</t>
  </si>
  <si>
    <t>IND-25/745</t>
  </si>
  <si>
    <t>IND-25/750</t>
  </si>
  <si>
    <t>IND-25/755</t>
  </si>
  <si>
    <t>IND-25/760</t>
  </si>
  <si>
    <t>IND-25/765</t>
  </si>
  <si>
    <t>IND-25/770</t>
  </si>
  <si>
    <t>IND-25/775</t>
  </si>
  <si>
    <t>IND-25/780</t>
  </si>
  <si>
    <t>IND-25/785</t>
  </si>
  <si>
    <t>IND-25/790</t>
  </si>
  <si>
    <t>IND-25/795</t>
  </si>
  <si>
    <t>IND-25/800</t>
  </si>
  <si>
    <t>IND-25/805</t>
  </si>
  <si>
    <t>IND-25/810</t>
  </si>
  <si>
    <t>IND-25/815</t>
  </si>
  <si>
    <t>IND-25/820</t>
  </si>
  <si>
    <t>IND-25/825</t>
  </si>
  <si>
    <t>IND-25/830</t>
  </si>
  <si>
    <t>IND-25/835</t>
  </si>
  <si>
    <t>IND-25/840</t>
  </si>
  <si>
    <t>IND-25/845</t>
  </si>
  <si>
    <t>IND-25/850</t>
  </si>
  <si>
    <t>IND-25/855</t>
  </si>
  <si>
    <t>IND-25/860</t>
  </si>
  <si>
    <t>IND-25/865</t>
  </si>
  <si>
    <t>IND-25/870</t>
  </si>
  <si>
    <t>IND-25/875</t>
  </si>
  <si>
    <t>IND-25/880</t>
  </si>
  <si>
    <t>IND-25/885</t>
  </si>
  <si>
    <t>IND-25/890</t>
  </si>
  <si>
    <t>IND-25/895</t>
  </si>
  <si>
    <t>IND-25/900</t>
  </si>
  <si>
    <t>IND-25/905</t>
  </si>
  <si>
    <t>IND-25/910</t>
  </si>
  <si>
    <t>IND-25/915</t>
  </si>
  <si>
    <t>IND-25/920</t>
  </si>
  <si>
    <t>IND-25/925</t>
  </si>
  <si>
    <t>IND-25/930</t>
  </si>
  <si>
    <t>IND-25/935</t>
  </si>
  <si>
    <t>IND-25/940</t>
  </si>
  <si>
    <t>IND-25/945</t>
  </si>
  <si>
    <t>IND-25/950</t>
  </si>
  <si>
    <t>IND-25/955</t>
  </si>
  <si>
    <t>IND-25/960</t>
  </si>
  <si>
    <t>IND-25/965</t>
  </si>
  <si>
    <t>IND-25/970</t>
  </si>
  <si>
    <t>IND-25/975</t>
  </si>
  <si>
    <t>IND-25/980</t>
  </si>
  <si>
    <t>IND-25/985</t>
  </si>
  <si>
    <t>IND-25/990</t>
  </si>
  <si>
    <t>IND-25/995</t>
  </si>
  <si>
    <t>IND-25/1000</t>
  </si>
  <si>
    <t>IND-25/1005</t>
  </si>
  <si>
    <t>IND-25/1010</t>
  </si>
  <si>
    <t>IND-25/1015</t>
  </si>
  <si>
    <t>IND-25/1020</t>
  </si>
  <si>
    <t>IND-25/1025</t>
  </si>
  <si>
    <t>IND-25/1030</t>
  </si>
  <si>
    <t>IND-25/1035</t>
  </si>
  <si>
    <t>IND-25/1040</t>
  </si>
  <si>
    <t>IND-25/1055</t>
  </si>
  <si>
    <t>IND-25/1060</t>
  </si>
  <si>
    <t>IND-25/1065</t>
  </si>
  <si>
    <t>IND-25/1070</t>
  </si>
  <si>
    <t>IND-25/1075</t>
  </si>
  <si>
    <t>IND-25/1080</t>
  </si>
  <si>
    <t>IND-25/1085</t>
  </si>
  <si>
    <t>IND-25/1090</t>
  </si>
  <si>
    <t>IND-25/1095</t>
  </si>
  <si>
    <t>IND-25/1100</t>
  </si>
  <si>
    <t>IND-25/1105</t>
  </si>
  <si>
    <t>IND-25/1110</t>
  </si>
  <si>
    <t>IND-25/1115</t>
  </si>
  <si>
    <t>IND-25/1120</t>
  </si>
  <si>
    <t>IND-25/1125</t>
  </si>
  <si>
    <t>IND-25/1130</t>
  </si>
  <si>
    <t>IND-25/1135</t>
  </si>
  <si>
    <t>IND-25/1140</t>
  </si>
  <si>
    <t>IND-25/1145</t>
  </si>
  <si>
    <t>IND-25/1150</t>
  </si>
  <si>
    <t>IND-25/1155</t>
  </si>
  <si>
    <t>IND-25/1160</t>
  </si>
  <si>
    <t>IND-25/1165</t>
  </si>
  <si>
    <t>IND-25/1170</t>
  </si>
  <si>
    <t>IND-25/1175</t>
  </si>
  <si>
    <t>IND-25/1180</t>
  </si>
  <si>
    <t>IND-25/1185</t>
  </si>
  <si>
    <t>IND-25/1190</t>
  </si>
  <si>
    <t>IND-25/1195</t>
  </si>
  <si>
    <t>IND-25/1200</t>
  </si>
  <si>
    <t>IND-25/1205</t>
  </si>
  <si>
    <t>IND-25/1210</t>
  </si>
  <si>
    <t>IND-25/1215</t>
  </si>
  <si>
    <t>IND-25/1220</t>
  </si>
  <si>
    <t>IND-25/1225</t>
  </si>
  <si>
    <t>IND-25/1230</t>
  </si>
  <si>
    <t>IND-25/1235</t>
  </si>
  <si>
    <t>IND-25/1240</t>
  </si>
  <si>
    <t>IND-25/1245</t>
  </si>
  <si>
    <t>IND-25/1250</t>
  </si>
  <si>
    <t>IND-25/1255</t>
  </si>
  <si>
    <t>IND-25/1260</t>
  </si>
  <si>
    <t>IND-25/1265</t>
  </si>
  <si>
    <t>IND-25/1270</t>
  </si>
  <si>
    <t>IND-25/1275</t>
  </si>
  <si>
    <t>IND-25/1280</t>
  </si>
  <si>
    <t>IND-25/1285</t>
  </si>
  <si>
    <t>IND-25/1290</t>
  </si>
  <si>
    <t>IND-25/1295</t>
  </si>
  <si>
    <t>IND-25/1300</t>
  </si>
  <si>
    <t>IND-25/1305</t>
  </si>
  <si>
    <t>IND-25/1310</t>
  </si>
  <si>
    <t>IND-25/1315</t>
  </si>
  <si>
    <t>IND-25/1320</t>
  </si>
  <si>
    <t>IND-25/1325</t>
  </si>
  <si>
    <t>IND-25/1330</t>
  </si>
  <si>
    <t>IND-25/1335</t>
  </si>
  <si>
    <t>IND-25/1340</t>
  </si>
  <si>
    <t>IND-25/1345</t>
  </si>
  <si>
    <t>IND-25/1350</t>
  </si>
  <si>
    <t>IND-25/1355</t>
  </si>
  <si>
    <t>IND-25/1360</t>
  </si>
  <si>
    <t>IND-25/1365</t>
  </si>
  <si>
    <t>IND-25/1370</t>
  </si>
  <si>
    <t>IND-25/1375</t>
  </si>
  <si>
    <t>IND-25/1380</t>
  </si>
  <si>
    <t>IND-25/1385</t>
  </si>
  <si>
    <t>IND-25/1390</t>
  </si>
  <si>
    <t>IND-25/1395</t>
  </si>
  <si>
    <t>IND-25/1400</t>
  </si>
  <si>
    <t>IND-25/1405</t>
  </si>
  <si>
    <t>IND-25/1410</t>
  </si>
  <si>
    <t>IND-25/1415</t>
  </si>
  <si>
    <t>IND-25/1420</t>
  </si>
  <si>
    <t>IND-25/1425</t>
  </si>
  <si>
    <t>IND-25/1430</t>
  </si>
  <si>
    <t>IND-25/1435</t>
  </si>
  <si>
    <t>IND-25/1440</t>
  </si>
  <si>
    <t>IND-25/1445</t>
  </si>
  <si>
    <t>IND-25/1450</t>
  </si>
  <si>
    <t>IND-25/1455</t>
  </si>
  <si>
    <t>IND-25/1460</t>
  </si>
  <si>
    <t>IND-25/1465</t>
  </si>
  <si>
    <t>IND-25/1470</t>
  </si>
  <si>
    <t>IND-25/1475</t>
  </si>
  <si>
    <t>IND-25/1480</t>
  </si>
  <si>
    <t>IND-25/1485</t>
  </si>
  <si>
    <t>IND-25/1490</t>
  </si>
  <si>
    <t>IND-25/1495</t>
  </si>
  <si>
    <t>IND-25/1500</t>
  </si>
  <si>
    <t>IND-25/1505</t>
  </si>
  <si>
    <t>IND-25/1510</t>
  </si>
  <si>
    <t>IND-25/1515</t>
  </si>
  <si>
    <t>IND-25/1525</t>
  </si>
  <si>
    <t>IND-25/1530</t>
  </si>
  <si>
    <t>IND-25/1535</t>
  </si>
  <si>
    <t>IND-25/1540</t>
  </si>
  <si>
    <t>IND-25/1545</t>
  </si>
  <si>
    <t>IND-25/1550</t>
  </si>
  <si>
    <t>IND-25/1555</t>
  </si>
  <si>
    <t>IND-25/1560</t>
  </si>
  <si>
    <t>IND-25/1565</t>
  </si>
  <si>
    <t>IND-25/1570</t>
  </si>
  <si>
    <t>IND-25/1575</t>
  </si>
  <si>
    <t>IND-25/1580</t>
  </si>
  <si>
    <t>IND-25/1585</t>
  </si>
  <si>
    <t>IND-25/1590</t>
  </si>
  <si>
    <t>IND-25/1595</t>
  </si>
  <si>
    <t>IND-25/1600</t>
  </si>
  <si>
    <t>IND-25/1605</t>
  </si>
  <si>
    <t>IND-25/1610</t>
  </si>
  <si>
    <t>IND-25/1615</t>
  </si>
  <si>
    <t>IND-25/1620</t>
  </si>
  <si>
    <t>IND-25/1625</t>
  </si>
  <si>
    <t>IND-25/1630</t>
  </si>
  <si>
    <t>IND-25/1635</t>
  </si>
  <si>
    <t>IND-25/1640</t>
  </si>
  <si>
    <t>IND-25/1645</t>
  </si>
  <si>
    <t>IND-25/1650</t>
  </si>
  <si>
    <t>IND-25/1655</t>
  </si>
  <si>
    <t>IND-25/1660</t>
  </si>
  <si>
    <t>IND-25/1665</t>
  </si>
  <si>
    <t>IND-25/1670</t>
  </si>
  <si>
    <t>IND-25/1675</t>
  </si>
  <si>
    <t>IND-25/1680</t>
  </si>
  <si>
    <t>IND-25/1685</t>
  </si>
  <si>
    <t>IND-25/1690</t>
  </si>
  <si>
    <t>IND-25/1695</t>
  </si>
  <si>
    <t>IND-25/1700</t>
  </si>
  <si>
    <t>IND-25/1705</t>
  </si>
  <si>
    <t>IND-25/1710</t>
  </si>
  <si>
    <t>IND-25/1715</t>
  </si>
  <si>
    <t>IND-25/1720</t>
  </si>
  <si>
    <t>IND-25/1725</t>
  </si>
  <si>
    <t>IND-25/1730</t>
  </si>
  <si>
    <t>IND-25/1735</t>
  </si>
  <si>
    <t>IND-25/1740</t>
  </si>
  <si>
    <t>IND-25/1745</t>
  </si>
  <si>
    <t>IND-25/1750</t>
  </si>
  <si>
    <t>IND-25/1755</t>
  </si>
  <si>
    <t>IND-25/1760</t>
  </si>
  <si>
    <t>IND-25/1765</t>
  </si>
  <si>
    <t>IND-25/1770</t>
  </si>
  <si>
    <t>IND-25/1775</t>
  </si>
  <si>
    <t>IND-25/1780</t>
  </si>
  <si>
    <t>IND-25/1785</t>
  </si>
  <si>
    <t>IND-25/1790</t>
  </si>
  <si>
    <t>IND-25/1795</t>
  </si>
  <si>
    <t>IND-25/1800</t>
  </si>
  <si>
    <t>IND-25/1805</t>
  </si>
  <si>
    <t>IND-25/1810</t>
  </si>
  <si>
    <t>IND-25/1815</t>
  </si>
  <si>
    <t>IND-25/1820</t>
  </si>
  <si>
    <t>IND-25/1825</t>
  </si>
  <si>
    <t>IND-25/1830</t>
  </si>
  <si>
    <t>IND-25/1835</t>
  </si>
  <si>
    <t>IND-25/1840</t>
  </si>
  <si>
    <t>IND-25/1845</t>
  </si>
  <si>
    <t>IND-25/1850</t>
  </si>
  <si>
    <t>IND-25/1855</t>
  </si>
  <si>
    <t>IND-25/1860</t>
  </si>
  <si>
    <t>IND-25/1865</t>
  </si>
  <si>
    <t>IND-25/1870</t>
  </si>
  <si>
    <t>IND-25/1875</t>
  </si>
  <si>
    <t>IND-25/1880</t>
  </si>
  <si>
    <t>IND-25/1885</t>
  </si>
  <si>
    <t>IND-25/1890</t>
  </si>
  <si>
    <t>IND-25/1895</t>
  </si>
  <si>
    <t>IND-25/1900</t>
  </si>
  <si>
    <t>IND-25/1905</t>
  </si>
  <si>
    <t>IND-25/1910</t>
  </si>
  <si>
    <t>IND-25/1915</t>
  </si>
  <si>
    <t>IND-25/1920</t>
  </si>
  <si>
    <t>IND-25/1925</t>
  </si>
  <si>
    <t>IND-25/1930</t>
  </si>
  <si>
    <t>IND-25/1935</t>
  </si>
  <si>
    <t>IND-25/1940</t>
  </si>
  <si>
    <t>IND-25/1945</t>
  </si>
  <si>
    <t>IND-25/1950</t>
  </si>
  <si>
    <t>IND-25/1955</t>
  </si>
  <si>
    <t>IND-25/1960</t>
  </si>
  <si>
    <t>IND-25/1965</t>
  </si>
  <si>
    <t>IND-25/1970</t>
  </si>
  <si>
    <t>IND-25/1975</t>
  </si>
  <si>
    <t>IND-25/1980</t>
  </si>
  <si>
    <t>IND-25/1985</t>
  </si>
  <si>
    <t>IND-25/1990</t>
  </si>
  <si>
    <t>IND-25/1995</t>
  </si>
  <si>
    <t>IND-25/2000</t>
  </si>
  <si>
    <t>IND-25/2005</t>
  </si>
  <si>
    <t>IND-25/2010</t>
  </si>
  <si>
    <t>IND-25/2015</t>
  </si>
  <si>
    <t>IND-25/2020</t>
  </si>
  <si>
    <t>IND-25/2025</t>
  </si>
  <si>
    <t>IND-25/2030</t>
  </si>
  <si>
    <t>IND-25/2035</t>
  </si>
  <si>
    <t>IND-25/2040</t>
  </si>
  <si>
    <t>IND-25/2045</t>
  </si>
  <si>
    <t>IND-25/2050</t>
  </si>
  <si>
    <t>IND-25/2055</t>
  </si>
  <si>
    <t>IND-25/2060</t>
  </si>
  <si>
    <t>IND-25/2065</t>
  </si>
  <si>
    <t>IND-25/2070</t>
  </si>
  <si>
    <t>IND-25/2075</t>
  </si>
  <si>
    <t>IND-25/2080</t>
  </si>
  <si>
    <t>IND-25/2085</t>
  </si>
  <si>
    <t>IND-25/2090</t>
  </si>
  <si>
    <t>IND-25/2095</t>
  </si>
  <si>
    <t>IND-25/2100</t>
  </si>
  <si>
    <t>IND-25/2105</t>
  </si>
  <si>
    <t>IND-25/2110</t>
  </si>
  <si>
    <t>IND-25/2115</t>
  </si>
  <si>
    <t>IND-25/2120</t>
  </si>
  <si>
    <t>IND-25/2125</t>
  </si>
  <si>
    <t>IND-25/2130</t>
  </si>
  <si>
    <t>IND-25/2135</t>
  </si>
  <si>
    <t>IND-25/2140</t>
  </si>
  <si>
    <t>IND-25/2145</t>
  </si>
  <si>
    <t>IND-25/2150</t>
  </si>
  <si>
    <t>IND-25/2155</t>
  </si>
  <si>
    <t>IND-25/2160</t>
  </si>
  <si>
    <t>IND-25/2165</t>
  </si>
  <si>
    <t>IND-25/2170</t>
  </si>
  <si>
    <t>IND-25/2175</t>
  </si>
  <si>
    <t>IND-25/2180</t>
  </si>
  <si>
    <t>IND-25/2185</t>
  </si>
  <si>
    <t>IND-25/2190</t>
  </si>
  <si>
    <t>IND-25/2195</t>
  </si>
  <si>
    <t>IND-25/2200</t>
  </si>
  <si>
    <t>IND-25/2205</t>
  </si>
  <si>
    <t>IND-25/2210</t>
  </si>
  <si>
    <t>IND-25/2215</t>
  </si>
  <si>
    <t>IND-25/2220</t>
  </si>
  <si>
    <t>IND-25/2225</t>
  </si>
  <si>
    <t>IND-25/2230</t>
  </si>
  <si>
    <t>IND-25/2235</t>
  </si>
  <si>
    <t>IND-25/2240</t>
  </si>
  <si>
    <t>IND-25/2245</t>
  </si>
  <si>
    <t>IND-25/2250</t>
  </si>
  <si>
    <t>IND-25/2255</t>
  </si>
  <si>
    <t>IND-25/2260</t>
  </si>
  <si>
    <t>IND-25/2265</t>
  </si>
  <si>
    <t>IND-25/2270</t>
  </si>
  <si>
    <t>IND-25/2275</t>
  </si>
  <si>
    <t>IND-25/2280</t>
  </si>
  <si>
    <t>IND-25/2285</t>
  </si>
  <si>
    <t>IND-25/2290</t>
  </si>
  <si>
    <t>IND-25/2295</t>
  </si>
  <si>
    <t>IND-25/2300</t>
  </si>
  <si>
    <t>IND-25/2305</t>
  </si>
  <si>
    <t>IND-25/2310</t>
  </si>
  <si>
    <t>IND-25/2315</t>
  </si>
  <si>
    <t>IND-25/2320</t>
  </si>
  <si>
    <t>IND-25/2325</t>
  </si>
  <si>
    <t>IND-25/2330</t>
  </si>
  <si>
    <t>IND-25/2335</t>
  </si>
  <si>
    <t>IND-25/2340</t>
  </si>
  <si>
    <t>IND-25/2345</t>
  </si>
  <si>
    <t>IND-25/2350</t>
  </si>
  <si>
    <t>IND-25/2355</t>
  </si>
  <si>
    <t>IND-25/2360</t>
  </si>
  <si>
    <t>IND-25/2365</t>
  </si>
  <si>
    <t>IND-25/2370</t>
  </si>
  <si>
    <t>IND-25/2375</t>
  </si>
  <si>
    <t>IND-25/2380</t>
  </si>
  <si>
    <t>IND-25/2385</t>
  </si>
  <si>
    <t>IND-25/2390</t>
  </si>
  <si>
    <t>IND-25/2395</t>
  </si>
  <si>
    <t>IND-25/2400</t>
  </si>
  <si>
    <t>IND-25/2405</t>
  </si>
  <si>
    <t>IND-25/2410</t>
  </si>
  <si>
    <t>IND-25/2415</t>
  </si>
  <si>
    <t>IND-25/2420</t>
  </si>
  <si>
    <t>IND-25/2425</t>
  </si>
  <si>
    <t>IND-25/2430</t>
  </si>
  <si>
    <t>IND-25/2435</t>
  </si>
  <si>
    <t>IND-25/2440</t>
  </si>
  <si>
    <t>IND-25/2445</t>
  </si>
  <si>
    <t>IND-25/2450</t>
  </si>
  <si>
    <t>IND-25/2455</t>
  </si>
  <si>
    <t>IND-25/2460</t>
  </si>
  <si>
    <t>IND-25/2465</t>
  </si>
  <si>
    <t>IND-25/2470</t>
  </si>
  <si>
    <t>IND-25/2475</t>
  </si>
  <si>
    <t>IND-25/2480</t>
  </si>
  <si>
    <t>IND-25/2485</t>
  </si>
  <si>
    <t>IND-25/2490</t>
  </si>
  <si>
    <t>IND-25/2495</t>
  </si>
  <si>
    <t>IND-25/2500</t>
  </si>
  <si>
    <t>IND-25/2505</t>
  </si>
  <si>
    <t>IND-25/2510</t>
  </si>
  <si>
    <t>IND-25/2515</t>
  </si>
  <si>
    <t>IND-25/2520</t>
  </si>
  <si>
    <t>IND-25/2525</t>
  </si>
  <si>
    <t>IND-25/2530</t>
  </si>
  <si>
    <t>IND-25/2535</t>
  </si>
  <si>
    <t>IND-25/2540</t>
  </si>
  <si>
    <t>IND-25/2545</t>
  </si>
  <si>
    <t>IND-25/2550</t>
  </si>
  <si>
    <t>IND-25/2555</t>
  </si>
  <si>
    <t>IND-25/2560</t>
  </si>
  <si>
    <t>IND-25/2565</t>
  </si>
  <si>
    <t>IND-25/2570</t>
  </si>
  <si>
    <t>IND-25/2575</t>
  </si>
  <si>
    <t>IND-25/2580</t>
  </si>
  <si>
    <t>IND-25/2585</t>
  </si>
  <si>
    <t>IND-25/2590</t>
  </si>
  <si>
    <t>IND-25/2595</t>
  </si>
  <si>
    <t>IND-25/2600</t>
  </si>
  <si>
    <t>IND-25/2605</t>
  </si>
  <si>
    <t>IND-25/2610</t>
  </si>
  <si>
    <t>IND-25/2615</t>
  </si>
  <si>
    <t>IND-25/2620</t>
  </si>
  <si>
    <t>IND-25/2625</t>
  </si>
  <si>
    <t>IND-25/2630</t>
  </si>
  <si>
    <t>IND-25/2635</t>
  </si>
  <si>
    <t>IND-25/2640</t>
  </si>
  <si>
    <t>IND-25/2645</t>
  </si>
  <si>
    <t>IND-25/2650</t>
  </si>
  <si>
    <t>IND-25/2660</t>
  </si>
  <si>
    <t>IND-25/2665</t>
  </si>
  <si>
    <t>IND-25/2670</t>
  </si>
  <si>
    <t>IND-25/2675</t>
  </si>
  <si>
    <t>IND-25/2680</t>
  </si>
  <si>
    <t>IND-25/2685</t>
  </si>
  <si>
    <t>IND-25/2690</t>
  </si>
  <si>
    <t>IND-25/2695</t>
  </si>
  <si>
    <t>IND-25/2700</t>
  </si>
  <si>
    <t>IND-25/2705</t>
  </si>
  <si>
    <t>IND-25/2710</t>
  </si>
  <si>
    <t>IND-25/2715</t>
  </si>
  <si>
    <t>IND-25/2720</t>
  </si>
  <si>
    <t>IND-25/2725</t>
  </si>
  <si>
    <t>IND-25/2730</t>
  </si>
  <si>
    <t>IND-25/2735</t>
  </si>
  <si>
    <t>IND-25/2740</t>
  </si>
  <si>
    <t>IND-25/2745</t>
  </si>
  <si>
    <t>IND-25/2750</t>
  </si>
  <si>
    <t>IND-25/2755</t>
  </si>
  <si>
    <t>IND-25/2760</t>
  </si>
  <si>
    <t>IND-25/2765</t>
  </si>
  <si>
    <t>IND-25/2770</t>
  </si>
  <si>
    <t>IND-25/2775</t>
  </si>
  <si>
    <t>IND-25/2780</t>
  </si>
  <si>
    <t>IND-25/2785</t>
  </si>
  <si>
    <t>IND-25/2790</t>
  </si>
  <si>
    <t>IND-25/2795</t>
  </si>
  <si>
    <t>IND-25/2800</t>
  </si>
  <si>
    <t>IND-25/2805</t>
  </si>
  <si>
    <t>IND-25/2810</t>
  </si>
  <si>
    <t>IND-25/2815</t>
  </si>
  <si>
    <t>IND-25/2820</t>
  </si>
  <si>
    <t>IND-25/2825</t>
  </si>
  <si>
    <t>IND-25/2830</t>
  </si>
  <si>
    <t>IND-25/2835</t>
  </si>
  <si>
    <t>IND-25/2840</t>
  </si>
  <si>
    <t>IND-25/2845</t>
  </si>
  <si>
    <t>IND-25/2850</t>
  </si>
  <si>
    <t>IND-25/2855</t>
  </si>
  <si>
    <t>IND-25/2860</t>
  </si>
  <si>
    <t>IND-25/2865</t>
  </si>
  <si>
    <t>IND-25/2870</t>
  </si>
  <si>
    <t>IND-25/2875</t>
  </si>
  <si>
    <t>IND-25/2880</t>
  </si>
  <si>
    <t>IND-25/2885</t>
  </si>
  <si>
    <t>IND-25/2890</t>
  </si>
  <si>
    <t>IND-25/2895</t>
  </si>
  <si>
    <t>IND-25/2900</t>
  </si>
  <si>
    <t>IND-25/2905</t>
  </si>
  <si>
    <t>IND-25/2910</t>
  </si>
  <si>
    <t>IND-25/2915</t>
  </si>
  <si>
    <t>IND-25/2920</t>
  </si>
  <si>
    <t>IND-25/2925</t>
  </si>
  <si>
    <t>IND-25/2930</t>
  </si>
  <si>
    <t>IND-25/2935</t>
  </si>
  <si>
    <t>IND-25/2940</t>
  </si>
  <si>
    <t>IND-25/2945</t>
  </si>
  <si>
    <t>IND-25/2950</t>
  </si>
  <si>
    <t>IND-25/2955</t>
  </si>
  <si>
    <t>IND-25/2960</t>
  </si>
  <si>
    <t>IND-25/2965</t>
  </si>
  <si>
    <t>IND-25/2970</t>
  </si>
  <si>
    <t>IND-25/2975</t>
  </si>
  <si>
    <t>IND-25/2980</t>
  </si>
  <si>
    <t>IND-25/2985</t>
  </si>
  <si>
    <t>IND-25/2990</t>
  </si>
  <si>
    <t>IND-25/2995</t>
  </si>
  <si>
    <t>IND-25/3000</t>
  </si>
  <si>
    <t>IND-25/3005</t>
  </si>
  <si>
    <t>IND-25/3010</t>
  </si>
  <si>
    <t>IND-25/3015</t>
  </si>
  <si>
    <t>IND-25/3020</t>
  </si>
  <si>
    <t>IND-25/3025</t>
  </si>
  <si>
    <t>IND-25/3030</t>
  </si>
  <si>
    <t>IND-25/3035</t>
  </si>
  <si>
    <t>IND-25/3040</t>
  </si>
  <si>
    <t>IND-25/3045</t>
  </si>
  <si>
    <t>IND-25/3050</t>
  </si>
  <si>
    <t>IND-25/3055</t>
  </si>
  <si>
    <t>IND-25/3060</t>
  </si>
  <si>
    <t>IND-25/3065</t>
  </si>
  <si>
    <t>IND-25/3070</t>
  </si>
  <si>
    <t>IND-25/3075</t>
  </si>
  <si>
    <t>IND-25/3080</t>
  </si>
  <si>
    <t>IND-25/3085</t>
  </si>
  <si>
    <t>IND-25/3090</t>
  </si>
  <si>
    <t>IND-25/3095</t>
  </si>
  <si>
    <t>IND-25/3100</t>
  </si>
  <si>
    <t>IND-25/3105</t>
  </si>
  <si>
    <t>IND-25/3110</t>
  </si>
  <si>
    <t>IND-25/3115</t>
  </si>
  <si>
    <t>IND-25/3120</t>
  </si>
  <si>
    <t>IND-25/3125</t>
  </si>
  <si>
    <t>IND-25/3130</t>
  </si>
  <si>
    <t>IND-25/3135</t>
  </si>
  <si>
    <t>IND-25/3140</t>
  </si>
  <si>
    <t>IND-25/3145</t>
  </si>
  <si>
    <t>IND-25/3150</t>
  </si>
  <si>
    <t>IND-25/3155</t>
  </si>
  <si>
    <t>IND-25/3160</t>
  </si>
  <si>
    <t>IND-25/3165</t>
  </si>
  <si>
    <t>IND-25/3170</t>
  </si>
  <si>
    <t>IND-25/3175</t>
  </si>
  <si>
    <t>IND-25/3180</t>
  </si>
  <si>
    <t>IND-25/3185</t>
  </si>
  <si>
    <t>IND-25/3190</t>
  </si>
  <si>
    <t>IND-25/3195</t>
  </si>
  <si>
    <t>IND-25/3200</t>
  </si>
  <si>
    <t>IND-25/3205</t>
  </si>
  <si>
    <t>IND-25/3210</t>
  </si>
  <si>
    <t>IND-25/3215</t>
  </si>
  <si>
    <t>IND-25/3220</t>
  </si>
  <si>
    <t>IND-25/3225</t>
  </si>
  <si>
    <t>IND-25/3230</t>
  </si>
  <si>
    <t>IND-25/3235</t>
  </si>
  <si>
    <t>IND-25/3240</t>
  </si>
  <si>
    <t>IND-25/3245</t>
  </si>
  <si>
    <t>IND-25/3250</t>
  </si>
  <si>
    <t>IND-25/3255</t>
  </si>
  <si>
    <t>IND-25/3260</t>
  </si>
  <si>
    <t>IND-25/3265</t>
  </si>
  <si>
    <t>IND-25/3270</t>
  </si>
  <si>
    <t>IND-25/3275</t>
  </si>
  <si>
    <t>IND-25/3280</t>
  </si>
  <si>
    <t>IND-25/3285</t>
  </si>
  <si>
    <t>IND-25/3290</t>
  </si>
  <si>
    <t>IND-25/3295</t>
  </si>
  <si>
    <t>IND-25/3300</t>
  </si>
  <si>
    <t>IND-25/3305</t>
  </si>
  <si>
    <t>IND-25/3310</t>
  </si>
  <si>
    <t>IND-25/3315</t>
  </si>
  <si>
    <t>IND-25/3320</t>
  </si>
  <si>
    <t>IND-25/3325</t>
  </si>
  <si>
    <t>IND-25/3330</t>
  </si>
  <si>
    <t>IND-25/3335</t>
  </si>
  <si>
    <t>IND-25/3340</t>
  </si>
  <si>
    <t>IND-25/3345</t>
  </si>
  <si>
    <t>IND-25/3350</t>
  </si>
  <si>
    <t>IND-25/3355</t>
  </si>
  <si>
    <t>IND-25/3360</t>
  </si>
  <si>
    <t>IND-25/3365</t>
  </si>
  <si>
    <t>IND-25/3370</t>
  </si>
  <si>
    <t>IND-25/3375</t>
  </si>
  <si>
    <t>IND-25/3380</t>
  </si>
  <si>
    <t>IND-25/3385</t>
  </si>
  <si>
    <t>IND-25/3390</t>
  </si>
  <si>
    <t>IND-25/3395</t>
  </si>
  <si>
    <t>IND-25/3400</t>
  </si>
  <si>
    <t>IND-25/3405</t>
  </si>
  <si>
    <t>IND-25/3410</t>
  </si>
  <si>
    <t>IND-25/3415</t>
  </si>
  <si>
    <t>IND-25/3420</t>
  </si>
  <si>
    <t>IND-25/3425</t>
  </si>
  <si>
    <t>IND-25/3430</t>
  </si>
  <si>
    <t>IND-25/3440</t>
  </si>
  <si>
    <t>IND-25/3450</t>
  </si>
  <si>
    <t>IND-25/3455</t>
  </si>
  <si>
    <t>IND-25/3460</t>
  </si>
  <si>
    <t>IND-25/3465</t>
  </si>
  <si>
    <t>IND-25/3470</t>
  </si>
  <si>
    <t>IND-25/3475</t>
  </si>
  <si>
    <t>IND-25/3480</t>
  </si>
  <si>
    <t>IND-25/3485</t>
  </si>
  <si>
    <t>IND-25/3490</t>
  </si>
  <si>
    <t>IND-25/3495</t>
  </si>
  <si>
    <t>IND-25/3500</t>
  </si>
  <si>
    <t>IND-25/3505</t>
  </si>
  <si>
    <t>IND-25/3510</t>
  </si>
  <si>
    <t>IND-25/3515</t>
  </si>
  <si>
    <t>IND-25/3520</t>
  </si>
  <si>
    <t>IND-25/3525</t>
  </si>
  <si>
    <t>IND-25/3530</t>
  </si>
  <si>
    <t>IND-25/3535</t>
  </si>
  <si>
    <t>IND-25/3540</t>
  </si>
  <si>
    <t>IND-25/3545</t>
  </si>
  <si>
    <t>IND-25/3550</t>
  </si>
  <si>
    <t>IND-25/3555</t>
  </si>
  <si>
    <t>IND-25/3560</t>
  </si>
  <si>
    <t>IND-25/3565</t>
  </si>
  <si>
    <t>IND-25/3570</t>
  </si>
  <si>
    <t>IND-25/3575</t>
  </si>
  <si>
    <t>IND-25/3580</t>
  </si>
  <si>
    <t>IND-25/3585</t>
  </si>
  <si>
    <t>IND-25/3590</t>
  </si>
  <si>
    <t>IND-25/3595</t>
  </si>
  <si>
    <t>IND-25/3600</t>
  </si>
  <si>
    <t>IND-25/3605</t>
  </si>
  <si>
    <t>IND-25/3610</t>
  </si>
  <si>
    <t>IND-25/3615</t>
  </si>
  <si>
    <t>IND-25/3620</t>
  </si>
  <si>
    <t>IND-25/3625</t>
  </si>
  <si>
    <t>IND-25/3630</t>
  </si>
  <si>
    <t>IND-25/3635</t>
  </si>
  <si>
    <t>IND-25/3640</t>
  </si>
  <si>
    <t>IND-25/3645</t>
  </si>
  <si>
    <t>IND-25/3650</t>
  </si>
  <si>
    <t>IND-25/3655</t>
  </si>
  <si>
    <t>IND-25/3660</t>
  </si>
  <si>
    <t>IND-25/3665</t>
  </si>
  <si>
    <t>IND-25/3670</t>
  </si>
  <si>
    <t>IND-25/3675</t>
  </si>
  <si>
    <t>IND-25/3680</t>
  </si>
  <si>
    <t>IND-25/3685</t>
  </si>
  <si>
    <t>IND-25/3690</t>
  </si>
  <si>
    <t>IND-25/3695</t>
  </si>
  <si>
    <t>IND-25/3700</t>
  </si>
  <si>
    <t>IND-25/3705</t>
  </si>
  <si>
    <t>IND-25/3710</t>
  </si>
  <si>
    <t>IND-25/3715</t>
  </si>
  <si>
    <t>IND-25/3720</t>
  </si>
  <si>
    <t>IND-25/3725</t>
  </si>
  <si>
    <t>IND-25/3730</t>
  </si>
  <si>
    <t>IND-25/3735</t>
  </si>
  <si>
    <t>IND-25/3740</t>
  </si>
  <si>
    <t>IND-25/3745</t>
  </si>
  <si>
    <t>IND-25/3750</t>
  </si>
  <si>
    <t>IND-25/3755</t>
  </si>
  <si>
    <t>IND-25/3760</t>
  </si>
  <si>
    <t>IND-25/3765</t>
  </si>
  <si>
    <t>IND-25/3770</t>
  </si>
  <si>
    <t>IND-25/3775</t>
  </si>
  <si>
    <t>IND-25/3780</t>
  </si>
  <si>
    <t>IND-25/3785</t>
  </si>
  <si>
    <t>IND-25/3790</t>
  </si>
  <si>
    <t>IND-25/3795</t>
  </si>
  <si>
    <t>IND-25/3800</t>
  </si>
  <si>
    <t>IND-25/3805</t>
  </si>
  <si>
    <t>IND-25/3810</t>
  </si>
  <si>
    <t>IND-25/3815</t>
  </si>
  <si>
    <t>IND-25/3820</t>
  </si>
  <si>
    <t>IND-25/3825</t>
  </si>
  <si>
    <t>IND-25/3830</t>
  </si>
  <si>
    <t>IND-25/3835</t>
  </si>
  <si>
    <t>IND-25/3840</t>
  </si>
  <si>
    <t>IND-25/3845</t>
  </si>
  <si>
    <t>IND-25/3850</t>
  </si>
  <si>
    <t>IND-25/3855</t>
  </si>
  <si>
    <t>IND-25/3860</t>
  </si>
  <si>
    <t>IND-25/3865</t>
  </si>
  <si>
    <t>IND-25/3870</t>
  </si>
  <si>
    <t>IND-25/3875</t>
  </si>
  <si>
    <t>IND-25/3880</t>
  </si>
  <si>
    <t>IND-25/3885</t>
  </si>
  <si>
    <t>IND-25/3890</t>
  </si>
  <si>
    <t>IND-25/3895</t>
  </si>
  <si>
    <t>IND-25/3900</t>
  </si>
  <si>
    <t>IND-25/3905</t>
  </si>
  <si>
    <t>IND-25/3910</t>
  </si>
  <si>
    <t>IND-25/3915</t>
  </si>
  <si>
    <t>IND-25/3920</t>
  </si>
  <si>
    <t>IND-25/3925</t>
  </si>
  <si>
    <t>IND-25/3930</t>
  </si>
  <si>
    <t>IND-25/3935</t>
  </si>
  <si>
    <t>IND-25/3940</t>
  </si>
  <si>
    <t>IND-25/3945</t>
  </si>
  <si>
    <t>IND-25/3950</t>
  </si>
  <si>
    <t>IND-25/3955</t>
  </si>
  <si>
    <t>IND-25/3960</t>
  </si>
  <si>
    <t>IND-25/3965</t>
  </si>
  <si>
    <t>IND-25/3970</t>
  </si>
  <si>
    <t>IND-25/3975</t>
  </si>
  <si>
    <t>IND-25/3980</t>
  </si>
  <si>
    <t>IND-25/3985</t>
  </si>
  <si>
    <t>IND-25/3990</t>
  </si>
  <si>
    <t>IND-25/3995</t>
  </si>
  <si>
    <t>IND-25/4000</t>
  </si>
  <si>
    <t>IND-25/4005</t>
  </si>
  <si>
    <t>IND-25/4010</t>
  </si>
  <si>
    <t>IND-25/4015</t>
  </si>
  <si>
    <t>IND-25/4020</t>
  </si>
  <si>
    <t>IND-25/4025</t>
  </si>
  <si>
    <t>IND-25/4030</t>
  </si>
  <si>
    <t>IND-25/4035</t>
  </si>
  <si>
    <t>IND-25/4040</t>
  </si>
  <si>
    <t>IND-25/4045</t>
  </si>
  <si>
    <t>IND-25/4050</t>
  </si>
  <si>
    <t>IND-25/4055</t>
  </si>
  <si>
    <t>IND-25/4060</t>
  </si>
  <si>
    <t>IND-25/4065</t>
  </si>
  <si>
    <t>IND-25/4070</t>
  </si>
  <si>
    <t>IND-25/4075</t>
  </si>
  <si>
    <t>IND-25/4080</t>
  </si>
  <si>
    <t>IND-25/4085</t>
  </si>
  <si>
    <t>IND-25/4090</t>
  </si>
  <si>
    <t>IND-25/4095</t>
  </si>
  <si>
    <t>IND-25/4100</t>
  </si>
  <si>
    <t>IND-25/4105</t>
  </si>
  <si>
    <t>IND-25/4110</t>
  </si>
  <si>
    <t>IND-25/4115</t>
  </si>
  <si>
    <t>IND-25/4120</t>
  </si>
  <si>
    <t>IND-25/4125</t>
  </si>
  <si>
    <t>IND-25/4130</t>
  </si>
  <si>
    <t>IND-25/4135</t>
  </si>
  <si>
    <t>IND-25/4140</t>
  </si>
  <si>
    <t>IND-25/4145</t>
  </si>
  <si>
    <t>IND-25/4150</t>
  </si>
  <si>
    <t>IND-25/4155</t>
  </si>
  <si>
    <t>IND-25/4160</t>
  </si>
  <si>
    <t>IND-25/4165</t>
  </si>
  <si>
    <t>IND-25/4170</t>
  </si>
  <si>
    <t>IND-25/4175</t>
  </si>
  <si>
    <t>IND-25/4180</t>
  </si>
  <si>
    <t>IND-25/4185</t>
  </si>
  <si>
    <t>IND-25/4190</t>
  </si>
  <si>
    <t>IND-25/4195</t>
  </si>
  <si>
    <t>IND-25/4200</t>
  </si>
  <si>
    <t>IND-25/4205</t>
  </si>
  <si>
    <t>IND-25/4210</t>
  </si>
  <si>
    <t>IND-25/4215</t>
  </si>
  <si>
    <t>IND-25/4220</t>
  </si>
  <si>
    <t>IND-25/4225</t>
  </si>
  <si>
    <t>IND-25/4230</t>
  </si>
  <si>
    <t>IND-25/4235</t>
  </si>
  <si>
    <t>IND-25/4240</t>
  </si>
  <si>
    <t>IND-25/4245</t>
  </si>
  <si>
    <t>IND-25/4250</t>
  </si>
  <si>
    <t>IND-25/4255</t>
  </si>
  <si>
    <t>IND-25/4260</t>
  </si>
  <si>
    <t>IND-25/4265</t>
  </si>
  <si>
    <t>IND-25/4270</t>
  </si>
  <si>
    <t>IND-25/4275</t>
  </si>
  <si>
    <t>IND-25/4280</t>
  </si>
  <si>
    <t>IND-25/4285</t>
  </si>
  <si>
    <t>IND-25/4290</t>
  </si>
  <si>
    <t>IND-25/4295</t>
  </si>
  <si>
    <t>IND-25/4300</t>
  </si>
  <si>
    <t>IND-25/4305</t>
  </si>
  <si>
    <t>IND-25/4310</t>
  </si>
  <si>
    <t>IND-25/4315</t>
  </si>
  <si>
    <t>IND-25/4320</t>
  </si>
  <si>
    <t>IND-25/4325</t>
  </si>
  <si>
    <t>IND-25/4330</t>
  </si>
  <si>
    <t>IND-25/4335</t>
  </si>
  <si>
    <t>IND-25/4340</t>
  </si>
  <si>
    <t>IND-25/4345</t>
  </si>
  <si>
    <t>IND-25/4350</t>
  </si>
  <si>
    <t>IND-25/4355</t>
  </si>
  <si>
    <t>IND-25/4360</t>
  </si>
  <si>
    <t>IND-25/4365</t>
  </si>
  <si>
    <t>IND-25/4370</t>
  </si>
  <si>
    <t>IND-25/4375</t>
  </si>
  <si>
    <t>IND-25/4380</t>
  </si>
  <si>
    <t>IND-25/4385</t>
  </si>
  <si>
    <t>IND-25/4390</t>
  </si>
  <si>
    <t>IND-25/4395</t>
  </si>
  <si>
    <t>IND-25/4400</t>
  </si>
  <si>
    <t>IND-25/4405</t>
  </si>
  <si>
    <t>IND-25/4410</t>
  </si>
  <si>
    <t>IND-25/4415</t>
  </si>
  <si>
    <t>IND-25/4420</t>
  </si>
  <si>
    <t>IND-25/4425</t>
  </si>
  <si>
    <t>IND-25/4430</t>
  </si>
  <si>
    <t>IND-25/4435</t>
  </si>
  <si>
    <t>IND-25/4440</t>
  </si>
  <si>
    <t>IND-25/4450</t>
  </si>
  <si>
    <t>IND-25/4455</t>
  </si>
  <si>
    <t>IND-25/4460</t>
  </si>
  <si>
    <t>IND-25/4465</t>
  </si>
  <si>
    <t>IND-25/4470</t>
  </si>
  <si>
    <t>IND-25/4475</t>
  </si>
  <si>
    <t>IND-25/4480</t>
  </si>
  <si>
    <t>IND-25/4485</t>
  </si>
  <si>
    <t>IND-25/4490</t>
  </si>
  <si>
    <t>IND-25/4495</t>
  </si>
  <si>
    <t>IND-25/4500</t>
  </si>
  <si>
    <t>IND-25/4505</t>
  </si>
  <si>
    <t>IND-25/4510</t>
  </si>
  <si>
    <t>IND-25/4515</t>
  </si>
  <si>
    <t>IND-25/4520</t>
  </si>
  <si>
    <t>IND-25/4525</t>
  </si>
  <si>
    <t>IND-25/4530</t>
  </si>
  <si>
    <t>IND-25/4535</t>
  </si>
  <si>
    <t>IND-25/4540</t>
  </si>
  <si>
    <t>IND-25/4545</t>
  </si>
  <si>
    <t>IND-25/4550</t>
  </si>
  <si>
    <t>IND-25/4555</t>
  </si>
  <si>
    <t>IND-25/4560</t>
  </si>
  <si>
    <t>IND-25/4565</t>
  </si>
  <si>
    <t>IND-25/4570</t>
  </si>
  <si>
    <t>IND-25/4575</t>
  </si>
  <si>
    <t>IND-25/4580</t>
  </si>
  <si>
    <t>IND-25/4585</t>
  </si>
  <si>
    <t>IND-25/4590</t>
  </si>
  <si>
    <t>IND-25/4595</t>
  </si>
  <si>
    <t>IND-25/4600</t>
  </si>
  <si>
    <t>IND-25/4605</t>
  </si>
  <si>
    <t>IND-25/4610</t>
  </si>
  <si>
    <t>IND-25/4615</t>
  </si>
  <si>
    <t>IND-25/4620</t>
  </si>
  <si>
    <t>IND-25/4625</t>
  </si>
  <si>
    <t>IND-25/4630</t>
  </si>
  <si>
    <t>IND-25/4635</t>
  </si>
  <si>
    <t>IND-25/4640</t>
  </si>
  <si>
    <t>IND-25/4645</t>
  </si>
  <si>
    <t>IND-25/4650</t>
  </si>
  <si>
    <t>IND-25/4655</t>
  </si>
  <si>
    <t>IND-25/4660</t>
  </si>
  <si>
    <t>IND-25/4665</t>
  </si>
  <si>
    <t>IND-25/4670</t>
  </si>
  <si>
    <t>IND-25/4675</t>
  </si>
  <si>
    <t>IND-25/4680</t>
  </si>
  <si>
    <t>IND-25/4685</t>
  </si>
  <si>
    <t>IND-25/4690</t>
  </si>
  <si>
    <t>IND-25/4695</t>
  </si>
  <si>
    <t>IND-25/4700</t>
  </si>
  <si>
    <t>IND-25/4705</t>
  </si>
  <si>
    <t>IND-25/4710</t>
  </si>
  <si>
    <t>IND-25/4715</t>
  </si>
  <si>
    <t>IND-25/4720</t>
  </si>
  <si>
    <t>IND-25/4725</t>
  </si>
  <si>
    <t>IND-25/4730</t>
  </si>
  <si>
    <t>IND-25/4735</t>
  </si>
  <si>
    <t>IND-25/4740</t>
  </si>
  <si>
    <t>IND-25/4745</t>
  </si>
  <si>
    <t>IND-25/4750</t>
  </si>
  <si>
    <t>IND-25/4755</t>
  </si>
  <si>
    <t>IND-25/4760</t>
  </si>
  <si>
    <t>IND-25/4765</t>
  </si>
  <si>
    <t>IND-25/4770</t>
  </si>
  <si>
    <t>IND-25/4775</t>
  </si>
  <si>
    <t>IND-25/4780</t>
  </si>
  <si>
    <t>IND-25/4785</t>
  </si>
  <si>
    <t>IND-25/4790</t>
  </si>
  <si>
    <t>IND-25/4795</t>
  </si>
  <si>
    <t>IND-25/4800</t>
  </si>
  <si>
    <t>IND-25/4805</t>
  </si>
  <si>
    <t>IND-25/4810</t>
  </si>
  <si>
    <t>IND-25/4815</t>
  </si>
  <si>
    <t>IND-25/4820</t>
  </si>
  <si>
    <t>IND-25/4825</t>
  </si>
  <si>
    <t>IND-25/4830</t>
  </si>
  <si>
    <t>IND-25/4835</t>
  </si>
  <si>
    <t>IND-25/4840</t>
  </si>
  <si>
    <t>IND-25/4845</t>
  </si>
  <si>
    <t>IND-25/4850</t>
  </si>
  <si>
    <t>IND-25/4855</t>
  </si>
  <si>
    <t>IND-25/4860</t>
  </si>
  <si>
    <t>IND-25/4865</t>
  </si>
  <si>
    <t>IND-25/4870</t>
  </si>
  <si>
    <t>IND-25/4875</t>
  </si>
  <si>
    <t>IND-25/4880</t>
  </si>
  <si>
    <t>IND-25/4885</t>
  </si>
  <si>
    <t>IND-25/4890</t>
  </si>
  <si>
    <t>IND-25/4895</t>
  </si>
  <si>
    <t>IND-25/4900</t>
  </si>
  <si>
    <t>IND-25/4905</t>
  </si>
  <si>
    <t>IND-25/4910</t>
  </si>
  <si>
    <t>IND-25/4915</t>
  </si>
  <si>
    <t>IND-25/4920</t>
  </si>
  <si>
    <t>IND-25/4925</t>
  </si>
  <si>
    <t>IND-25/4930</t>
  </si>
  <si>
    <t>IND-25/4935</t>
  </si>
  <si>
    <t>IND-25/4940</t>
  </si>
  <si>
    <t>IND-25/4945</t>
  </si>
  <si>
    <t>IND-25/4950</t>
  </si>
  <si>
    <t>IND-25/4955</t>
  </si>
  <si>
    <t>IND-25/4960</t>
  </si>
  <si>
    <t>IND-25/4965</t>
  </si>
  <si>
    <t>IND-25/4970</t>
  </si>
  <si>
    <t>IND-25/4975</t>
  </si>
  <si>
    <t>IND-25/4980</t>
  </si>
  <si>
    <t>IND-25/4985</t>
  </si>
  <si>
    <t>IND-25/4990</t>
  </si>
  <si>
    <t>IND-25/4995</t>
  </si>
  <si>
    <t>IND-25/5000</t>
  </si>
  <si>
    <t>IND-25/5005</t>
  </si>
  <si>
    <t>IND-25/5010</t>
  </si>
  <si>
    <t>IND-25/5015</t>
  </si>
  <si>
    <t>IND-25/5020</t>
  </si>
  <si>
    <t>IND-25/5025</t>
  </si>
  <si>
    <t>IND-25/5030</t>
  </si>
  <si>
    <t>IND-25/5035</t>
  </si>
  <si>
    <t>IND-25/5040</t>
  </si>
  <si>
    <t>IND-25/5045</t>
  </si>
  <si>
    <t>IND-25/5050</t>
  </si>
  <si>
    <t>IND-25/5060</t>
  </si>
  <si>
    <t>IND-25/5070</t>
  </si>
  <si>
    <t>IND-25/5080</t>
  </si>
  <si>
    <t>IND-25/5085</t>
  </si>
  <si>
    <t>IND-25/5090</t>
  </si>
  <si>
    <t>IND-25/5095</t>
  </si>
  <si>
    <t>IND-25/5100</t>
  </si>
  <si>
    <t>IND-25/5105</t>
  </si>
  <si>
    <t>IND-25/5110</t>
  </si>
  <si>
    <t>IND-25/5115</t>
  </si>
  <si>
    <t>IND-25/5120</t>
  </si>
  <si>
    <t>IND-25/5125</t>
  </si>
  <si>
    <t>IND-25/5130</t>
  </si>
  <si>
    <t>IND-25/5135</t>
  </si>
  <si>
    <t>IND-25/5140</t>
  </si>
  <si>
    <t>IND-25/5145</t>
  </si>
  <si>
    <t>IND-25/5150</t>
  </si>
  <si>
    <t>IND-25/5155</t>
  </si>
  <si>
    <t>IND-25/5160</t>
  </si>
  <si>
    <t>IND-25/5165</t>
  </si>
  <si>
    <t>IND-25/5170</t>
  </si>
  <si>
    <t>IND-25/5175</t>
  </si>
  <si>
    <t>IND-25/5180</t>
  </si>
  <si>
    <t>IND-25/5185</t>
  </si>
  <si>
    <t>IND-25/5190</t>
  </si>
  <si>
    <t>IND-25/5195</t>
  </si>
  <si>
    <t>IND-25/5200</t>
  </si>
  <si>
    <t>IND-25/5205</t>
  </si>
  <si>
    <t>IND-25/5210</t>
  </si>
  <si>
    <t>IND-25/5215</t>
  </si>
  <si>
    <t>IND-25/5220</t>
  </si>
  <si>
    <t>IND-25/5225</t>
  </si>
  <si>
    <t>IND-25/5230</t>
  </si>
  <si>
    <t>IND-25/5235</t>
  </si>
  <si>
    <t>IND-25/5240</t>
  </si>
  <si>
    <t>IND-25/5245</t>
  </si>
  <si>
    <t>IND-25/5250</t>
  </si>
  <si>
    <t>IND-25/5255</t>
  </si>
  <si>
    <t>IND-25/5260</t>
  </si>
  <si>
    <t>IND-25/5265</t>
  </si>
  <si>
    <t>IND-25/5270</t>
  </si>
  <si>
    <t>IND-25/5275</t>
  </si>
  <si>
    <t>IND-25/5280</t>
  </si>
  <si>
    <t>IND-25/5285</t>
  </si>
  <si>
    <t>IND-25/5290</t>
  </si>
  <si>
    <t>IND-25/5295</t>
  </si>
  <si>
    <t>IND-25/5300</t>
  </si>
  <si>
    <t>IND-25/5305</t>
  </si>
  <si>
    <t>IND-25/5310</t>
  </si>
  <si>
    <t>IND-25/5315</t>
  </si>
  <si>
    <t>IND-25/5320</t>
  </si>
  <si>
    <t>IND-25/5325</t>
  </si>
  <si>
    <t>IND-25/5330</t>
  </si>
  <si>
    <t>IND-25/5335</t>
  </si>
  <si>
    <t>IND-25/5340</t>
  </si>
  <si>
    <t>IND-25/5345</t>
  </si>
  <si>
    <t>IND-25/5350</t>
  </si>
  <si>
    <t>IND-25/5355</t>
  </si>
  <si>
    <t>IND-25/5360</t>
  </si>
  <si>
    <t>IND-25/5365</t>
  </si>
  <si>
    <t>IND-25/5370</t>
  </si>
  <si>
    <t>IND-25/5375</t>
  </si>
  <si>
    <t>IND-25/5380</t>
  </si>
  <si>
    <t>IND-25/5385</t>
  </si>
  <si>
    <t>IND-25/5390</t>
  </si>
  <si>
    <t>IND-25/5395</t>
  </si>
  <si>
    <t>IND-25/5400</t>
  </si>
  <si>
    <t>IND-25/5405</t>
  </si>
  <si>
    <t>IND-25/5410</t>
  </si>
  <si>
    <t>IND-25/5415</t>
  </si>
  <si>
    <t>IND-25/5420</t>
  </si>
  <si>
    <t>IND-25/5425</t>
  </si>
  <si>
    <t>IND-25/5430</t>
  </si>
  <si>
    <t>IND-25/5435</t>
  </si>
  <si>
    <t>IND-25/5440</t>
  </si>
  <si>
    <t>IND-25/5445</t>
  </si>
  <si>
    <t>IND-25/5450</t>
  </si>
  <si>
    <t>IND-25/5455</t>
  </si>
  <si>
    <t>IND-25/5460</t>
  </si>
  <si>
    <t>IND-25/5465</t>
  </si>
  <si>
    <t>IND-25/5470</t>
  </si>
  <si>
    <t>IND-25/5475</t>
  </si>
  <si>
    <t>IND-25/5480</t>
  </si>
  <si>
    <t>IND-25/5485</t>
  </si>
  <si>
    <t>IND-25/5490</t>
  </si>
  <si>
    <t>IND-25/5495</t>
  </si>
  <si>
    <t>IND-25/5500</t>
  </si>
  <si>
    <t>IND-25/5505</t>
  </si>
  <si>
    <t>IND-25/5510</t>
  </si>
  <si>
    <t>IND-25/5515</t>
  </si>
  <si>
    <t>IND-25/5520</t>
  </si>
  <si>
    <t>IND-25/5525</t>
  </si>
  <si>
    <t>IND-25/5530</t>
  </si>
  <si>
    <t>IND-25/5535</t>
  </si>
  <si>
    <t>IND-25/5540</t>
  </si>
  <si>
    <t>IND-25/5545</t>
  </si>
  <si>
    <t>IND-25/5550</t>
  </si>
  <si>
    <t>IND-25/5555</t>
  </si>
  <si>
    <t>IND-25/5560</t>
  </si>
  <si>
    <t>IND-25/5565</t>
  </si>
  <si>
    <t>IND-25/5570</t>
  </si>
  <si>
    <t>IND-25/5575</t>
  </si>
  <si>
    <t>IND-25/5580</t>
  </si>
  <si>
    <t>IND-25/5585</t>
  </si>
  <si>
    <t>IND-25/5590</t>
  </si>
  <si>
    <t>IND-25/5595</t>
  </si>
  <si>
    <t>IND-25/5600</t>
  </si>
  <si>
    <t>IND-25/5605</t>
  </si>
  <si>
    <t>IND-25/5610</t>
  </si>
  <si>
    <t>IND-25/5615</t>
  </si>
  <si>
    <t>IND-25/5620</t>
  </si>
  <si>
    <t>IND-25/5625</t>
  </si>
  <si>
    <t>IND-25/5630</t>
  </si>
  <si>
    <t>IND-25/5635</t>
  </si>
  <si>
    <t>IND-25/5640</t>
  </si>
  <si>
    <t>IND-25/5645</t>
  </si>
  <si>
    <t>IND-25/5650</t>
  </si>
  <si>
    <t>IND-25/5655</t>
  </si>
  <si>
    <t>IND-25/5660</t>
  </si>
  <si>
    <t>IND-25/5665</t>
  </si>
  <si>
    <t>IND-25/5670</t>
  </si>
  <si>
    <t>IND-25/5675</t>
  </si>
  <si>
    <t>IND-25/5680</t>
  </si>
  <si>
    <t>IND-25/5685</t>
  </si>
  <si>
    <t>IND-25/5690</t>
  </si>
  <si>
    <t>IND-25/5695</t>
  </si>
  <si>
    <t>IND-25/5700</t>
  </si>
  <si>
    <t>IND-25/5705</t>
  </si>
  <si>
    <t>IND-25/5710</t>
  </si>
  <si>
    <t>IND-25/5715</t>
  </si>
  <si>
    <t>IND-25/5720</t>
  </si>
  <si>
    <t>IND-25/5725</t>
  </si>
  <si>
    <t>IND-25/5730</t>
  </si>
  <si>
    <t>IND-25/5735</t>
  </si>
  <si>
    <t>IND-25/5740</t>
  </si>
  <si>
    <t>IND-25/5745</t>
  </si>
  <si>
    <t>IND-25/5750</t>
  </si>
  <si>
    <t>IND-25/5755</t>
  </si>
  <si>
    <t>IND-25/5760</t>
  </si>
  <si>
    <t>IND-25/5765</t>
  </si>
  <si>
    <t>IND-25/5770</t>
  </si>
  <si>
    <t>IND-25/5775</t>
  </si>
  <si>
    <t>IND-25/5780</t>
  </si>
  <si>
    <t>IND-25/5785</t>
  </si>
  <si>
    <t>IND-25/5790</t>
  </si>
  <si>
    <t>IND-25/5795</t>
  </si>
  <si>
    <t>IND-25/5800</t>
  </si>
  <si>
    <t>IND-25/5805</t>
  </si>
  <si>
    <t>IND-25/5810</t>
  </si>
  <si>
    <t>IND-25/5815</t>
  </si>
  <si>
    <t>IND-25/5820</t>
  </si>
  <si>
    <t>IND-25/5825</t>
  </si>
  <si>
    <t>IND-25/5830</t>
  </si>
  <si>
    <t>IND-25/5835</t>
  </si>
  <si>
    <t>IND-25/5840</t>
  </si>
  <si>
    <t>IND-25/5845</t>
  </si>
  <si>
    <t>IND-25/5850</t>
  </si>
  <si>
    <t>IND-25/5855</t>
  </si>
  <si>
    <t>IND-25/5860</t>
  </si>
  <si>
    <t>IND-25/5865</t>
  </si>
  <si>
    <t>IND-25/5870</t>
  </si>
  <si>
    <t>IND-25/5875</t>
  </si>
  <si>
    <t>IND-25/5880</t>
  </si>
  <si>
    <t>IND-25/5885</t>
  </si>
  <si>
    <t>IND-25/5890</t>
  </si>
  <si>
    <t>IND-25/5895</t>
  </si>
  <si>
    <t>IND-25/5900</t>
  </si>
  <si>
    <t>IND-25/5905</t>
  </si>
  <si>
    <t>IND-25/5910</t>
  </si>
  <si>
    <t>IND-25/5915</t>
  </si>
  <si>
    <t>IND-25/5920</t>
  </si>
  <si>
    <t>IND-25/5925</t>
  </si>
  <si>
    <t>IND-25/5930</t>
  </si>
  <si>
    <t>IND-25/5935</t>
  </si>
  <si>
    <t>IND-25/5940</t>
  </si>
  <si>
    <t>IND-25/5945</t>
  </si>
  <si>
    <t>IND-25/5950</t>
  </si>
  <si>
    <t>IND-25/5955</t>
  </si>
  <si>
    <t>IND-25/5960</t>
  </si>
  <si>
    <t>IND-25/5965</t>
  </si>
  <si>
    <t>IND-25/5970</t>
  </si>
  <si>
    <t>IND-25/5975</t>
  </si>
  <si>
    <t>IND-25/5980</t>
  </si>
  <si>
    <t>IND-25/5985</t>
  </si>
  <si>
    <t>IND-25/5990</t>
  </si>
  <si>
    <t>IND-25/5995</t>
  </si>
  <si>
    <t>IND-25/6000</t>
  </si>
  <si>
    <t>IND-25/6005</t>
  </si>
  <si>
    <t>IND-25/6010</t>
  </si>
  <si>
    <t>IND-25/6015</t>
  </si>
  <si>
    <t>IND-25/6020</t>
  </si>
  <si>
    <t>IND-25/6025</t>
  </si>
  <si>
    <t>IND-25/6030</t>
  </si>
  <si>
    <t>IND-25/6035</t>
  </si>
  <si>
    <t>IND-25/6040</t>
  </si>
  <si>
    <t>IND-25/6045</t>
  </si>
  <si>
    <t>IND-25/6050</t>
  </si>
  <si>
    <t>IND-25/6055</t>
  </si>
  <si>
    <t>IND-25/6060</t>
  </si>
  <si>
    <t>IND-25/6065</t>
  </si>
  <si>
    <t>IND-25/6070</t>
  </si>
  <si>
    <t>IND-25/6075</t>
  </si>
  <si>
    <t>IND-25/6080</t>
  </si>
  <si>
    <t>IND-25/6085</t>
  </si>
  <si>
    <t>IND-25/6090</t>
  </si>
  <si>
    <t>IND-25/6095</t>
  </si>
  <si>
    <t>IND-25/6100</t>
  </si>
  <si>
    <t>IND-25/6105</t>
  </si>
  <si>
    <t>IND-25/6110</t>
  </si>
  <si>
    <t>IND-25/6115</t>
  </si>
  <si>
    <t>IND-25/6120</t>
  </si>
  <si>
    <t>IND-25/6125</t>
  </si>
  <si>
    <t>IND-25/6130</t>
  </si>
  <si>
    <t>IND-25/6135</t>
  </si>
  <si>
    <t>IND-25/6140</t>
  </si>
  <si>
    <t>IND-25/6150</t>
  </si>
  <si>
    <t>IND-25/6155</t>
  </si>
  <si>
    <t>IND-25/6160</t>
  </si>
  <si>
    <t>IND-25/6165</t>
  </si>
  <si>
    <t>IND-25/6170</t>
  </si>
  <si>
    <t>IND-25/6175</t>
  </si>
  <si>
    <t>IND-25/6180</t>
  </si>
  <si>
    <t>IND-25/6185</t>
  </si>
  <si>
    <t>IND-25/6190</t>
  </si>
  <si>
    <t>IND-25/6195</t>
  </si>
  <si>
    <t>IND-25/6200</t>
  </si>
  <si>
    <t>IND-25/6205</t>
  </si>
  <si>
    <t>IND-25/6210</t>
  </si>
  <si>
    <t>IND-25/6215</t>
  </si>
  <si>
    <t>IND-25/6220</t>
  </si>
  <si>
    <t>IND-25/6225</t>
  </si>
  <si>
    <t>IND-25/6230</t>
  </si>
  <si>
    <t>IND-25/6235</t>
  </si>
  <si>
    <t>IND-25/6240</t>
  </si>
  <si>
    <t>IND-25/6245</t>
  </si>
  <si>
    <t>IND-25/6250</t>
  </si>
  <si>
    <t>IND-25/6255</t>
  </si>
  <si>
    <t>IND-25/6260</t>
  </si>
  <si>
    <t>IND-25/6265</t>
  </si>
  <si>
    <t>IND-25/6270</t>
  </si>
  <si>
    <t>IND-25/6275</t>
  </si>
  <si>
    <t>IND-25/6280</t>
  </si>
  <si>
    <t>IND-25/6285</t>
  </si>
  <si>
    <t>IND-25/6290</t>
  </si>
  <si>
    <t>IND-25/6295</t>
  </si>
  <si>
    <t>IND-25/6300</t>
  </si>
  <si>
    <t>IND-25/6305</t>
  </si>
  <si>
    <t>IND-25/6310</t>
  </si>
  <si>
    <t>IND-25/6315</t>
  </si>
  <si>
    <t>IND-25/6320</t>
  </si>
  <si>
    <t>IND-25/6325</t>
  </si>
  <si>
    <t>IND-25/6330</t>
  </si>
  <si>
    <t>IND-25/6335</t>
  </si>
  <si>
    <t>IND-25/6340</t>
  </si>
  <si>
    <t>IND-25/6345</t>
  </si>
  <si>
    <t>IND-25/6350</t>
  </si>
  <si>
    <t>IND-25/6355</t>
  </si>
  <si>
    <t>IND-25/6360</t>
  </si>
  <si>
    <t>IND-25/6365</t>
  </si>
  <si>
    <t>IND-25/6370</t>
  </si>
  <si>
    <t>IND-25/6375</t>
  </si>
  <si>
    <t>IND-25/6380</t>
  </si>
  <si>
    <t>IND-25/6385</t>
  </si>
  <si>
    <t>IND-25/6390</t>
  </si>
  <si>
    <t>IND-25/6395</t>
  </si>
  <si>
    <t>IND-25/6400</t>
  </si>
  <si>
    <t>IND-25/6405</t>
  </si>
  <si>
    <t>IND-25/6410</t>
  </si>
  <si>
    <t>IND-25/6415</t>
  </si>
  <si>
    <t>IND-25/6420</t>
  </si>
  <si>
    <t>IND-25/6425</t>
  </si>
  <si>
    <t>IND-25/6430</t>
  </si>
  <si>
    <t>IND-25/6435</t>
  </si>
  <si>
    <t>IND-25/6440</t>
  </si>
  <si>
    <t>IND-25/6445</t>
  </si>
  <si>
    <t>IND-25/6450</t>
  </si>
  <si>
    <t>IND-25/6455</t>
  </si>
  <si>
    <t>IND-25/6460</t>
  </si>
  <si>
    <t>IND-25/6465</t>
  </si>
  <si>
    <t>IND-25/6470</t>
  </si>
  <si>
    <t>IND-25/6475</t>
  </si>
  <si>
    <t>IND-25/6480</t>
  </si>
  <si>
    <t>IND-25/6485</t>
  </si>
  <si>
    <t>IND-25/6490</t>
  </si>
  <si>
    <t>IND-25/6495</t>
  </si>
  <si>
    <t>d18O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</si>
</sst>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7DF16-EA85-4F03-81B1-A821E3E2F78B}">
  <dimension ref="A1:N1300"/>
  <sheetViews>
    <sheetView tabSelected="1" workbookViewId="0">
      <selection activeCell="P4" sqref="P4"/>
    </sheetView>
  </sheetViews>
  <sheetFormatPr defaultRowHeight="14.6" x14ac:dyDescent="0.4"/>
  <cols>
    <col min="1" max="1" width="13" style="1" customWidth="1"/>
    <col min="2" max="2" width="9.15234375" style="1" customWidth="1"/>
    <col min="3" max="3" width="14.3828125" style="1" customWidth="1"/>
    <col min="4" max="4" width="10.53515625" style="1" customWidth="1"/>
    <col min="5" max="14" width="9.23046875" style="1"/>
  </cols>
  <sheetData>
    <row r="1" spans="1:14" s="10" customFormat="1" ht="15" thickBot="1" x14ac:dyDescent="0.45">
      <c r="A1" s="9"/>
      <c r="B1" s="2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1299</v>
      </c>
    </row>
    <row r="2" spans="1:14" x14ac:dyDescent="0.4">
      <c r="A2" s="1">
        <v>2006</v>
      </c>
      <c r="B2" s="1">
        <v>0.05</v>
      </c>
      <c r="C2" s="1" t="s">
        <v>12</v>
      </c>
      <c r="D2" s="3">
        <f>-1.42857*B2+2006.07143</f>
        <v>2006.0000015000001</v>
      </c>
      <c r="E2" s="1">
        <v>32.942300000000003</v>
      </c>
      <c r="F2" s="1">
        <v>10.4223</v>
      </c>
      <c r="G2" s="1">
        <v>14.9884</v>
      </c>
      <c r="H2" s="1">
        <v>22.224900000000002</v>
      </c>
      <c r="I2" s="1">
        <v>120.4444</v>
      </c>
      <c r="J2" s="1">
        <f>I2-0.038*E2</f>
        <v>119.1925926</v>
      </c>
      <c r="K2" s="1">
        <v>1.484230000000025</v>
      </c>
      <c r="L2" s="1">
        <f>E2-(J2/1.78)</f>
        <v>-34.019830674157305</v>
      </c>
      <c r="M2" s="1">
        <v>-231.42312999999999</v>
      </c>
      <c r="N2" s="1">
        <v>-29.113420000000001</v>
      </c>
    </row>
    <row r="3" spans="1:14" x14ac:dyDescent="0.4">
      <c r="B3" s="1">
        <v>0.1</v>
      </c>
      <c r="C3" s="1" t="s">
        <v>13</v>
      </c>
      <c r="D3" s="3">
        <f t="shared" ref="D3:D15" si="0">-1.42857*B3+2006.07143</f>
        <v>2005.9285729999999</v>
      </c>
      <c r="E3" s="1">
        <v>143.6464</v>
      </c>
      <c r="F3" s="1">
        <v>37.073300000000003</v>
      </c>
      <c r="G3" s="1">
        <v>60.216500000000003</v>
      </c>
      <c r="H3" s="1">
        <v>26.122399999999999</v>
      </c>
      <c r="I3" s="1">
        <v>83.254499999999993</v>
      </c>
      <c r="J3" s="1">
        <f t="shared" ref="J3:J66" si="1">I3-0.038*E3</f>
        <v>77.795936799999993</v>
      </c>
      <c r="K3" s="1">
        <v>-1.3758700000000204</v>
      </c>
      <c r="L3" s="1">
        <f t="shared" ref="L3:L66" si="2">E3-(J3/1.78)</f>
        <v>99.940817528089894</v>
      </c>
      <c r="M3" s="1">
        <v>-223.36715000000001</v>
      </c>
      <c r="N3" s="1">
        <v>-27.748909999999999</v>
      </c>
    </row>
    <row r="4" spans="1:14" x14ac:dyDescent="0.4">
      <c r="B4" s="1">
        <v>0.15</v>
      </c>
      <c r="C4" s="1" t="s">
        <v>14</v>
      </c>
      <c r="D4" s="3">
        <f t="shared" si="0"/>
        <v>2005.8571445</v>
      </c>
      <c r="E4" s="1">
        <v>173.0008</v>
      </c>
      <c r="F4" s="1">
        <v>36.550699999999999</v>
      </c>
      <c r="G4" s="1">
        <v>27.746500000000001</v>
      </c>
      <c r="H4" s="1">
        <v>29.8566</v>
      </c>
      <c r="I4" s="1">
        <v>79.992500000000007</v>
      </c>
      <c r="J4" s="1">
        <f t="shared" si="1"/>
        <v>73.418469600000009</v>
      </c>
      <c r="K4" s="1">
        <v>-1.6323799999999835</v>
      </c>
      <c r="L4" s="1">
        <f t="shared" si="2"/>
        <v>131.75446876404493</v>
      </c>
      <c r="M4" s="1">
        <v>-242.1403</v>
      </c>
      <c r="N4" s="1">
        <v>-30.063490000000002</v>
      </c>
    </row>
    <row r="5" spans="1:14" x14ac:dyDescent="0.4">
      <c r="B5" s="1">
        <v>0.2</v>
      </c>
      <c r="C5" s="1" t="s">
        <v>15</v>
      </c>
      <c r="D5" s="3">
        <f t="shared" si="0"/>
        <v>2005.7857159999999</v>
      </c>
      <c r="E5" s="1">
        <v>185.28720000000001</v>
      </c>
      <c r="F5" s="1">
        <v>29.238900000000001</v>
      </c>
      <c r="G5" s="1">
        <v>25.968299999999999</v>
      </c>
      <c r="H5" s="1">
        <v>26.825900000000001</v>
      </c>
      <c r="I5" s="1">
        <v>31.006599999999999</v>
      </c>
      <c r="J5" s="1">
        <f t="shared" si="1"/>
        <v>23.965686399999999</v>
      </c>
      <c r="K5" s="1">
        <v>3.2477000000000089</v>
      </c>
      <c r="L5" s="1">
        <f t="shared" si="2"/>
        <v>171.82333123595507</v>
      </c>
      <c r="M5" s="1">
        <v>-264.66525999999999</v>
      </c>
      <c r="N5" s="1">
        <v>-33.48912</v>
      </c>
    </row>
    <row r="6" spans="1:14" x14ac:dyDescent="0.4">
      <c r="B6" s="1">
        <v>0.25</v>
      </c>
      <c r="C6" s="1" t="s">
        <v>16</v>
      </c>
      <c r="D6" s="3">
        <f t="shared" si="0"/>
        <v>2005.7142875</v>
      </c>
      <c r="E6" s="1">
        <v>73.628200000000007</v>
      </c>
      <c r="F6" s="1">
        <v>20.8261</v>
      </c>
      <c r="G6" s="1">
        <v>10.013500000000001</v>
      </c>
      <c r="H6" s="1">
        <v>18.093</v>
      </c>
      <c r="I6" s="1">
        <v>33.000999999999998</v>
      </c>
      <c r="J6" s="1">
        <f t="shared" si="1"/>
        <v>30.203128399999997</v>
      </c>
      <c r="K6" s="1">
        <v>3.7688400000000115</v>
      </c>
      <c r="L6" s="1">
        <f t="shared" si="2"/>
        <v>56.660150337078662</v>
      </c>
      <c r="M6" s="1">
        <v>-261.72332</v>
      </c>
      <c r="N6" s="1">
        <v>-33.186520000000002</v>
      </c>
    </row>
    <row r="7" spans="1:14" x14ac:dyDescent="0.4">
      <c r="B7" s="1">
        <v>0.3</v>
      </c>
      <c r="C7" s="1" t="s">
        <v>17</v>
      </c>
      <c r="D7" s="3">
        <f t="shared" si="0"/>
        <v>2005.642859</v>
      </c>
      <c r="E7" s="1">
        <v>72.9863</v>
      </c>
      <c r="F7" s="1">
        <v>20.106400000000001</v>
      </c>
      <c r="G7" s="1">
        <v>11.1183</v>
      </c>
      <c r="H7" s="1">
        <v>9.3634000000000004</v>
      </c>
      <c r="I7" s="1">
        <v>42.945399999999999</v>
      </c>
      <c r="J7" s="1">
        <f t="shared" si="1"/>
        <v>40.1719206</v>
      </c>
      <c r="K7" s="1">
        <v>5.7024399999999957</v>
      </c>
      <c r="L7" s="1">
        <f t="shared" si="2"/>
        <v>50.417805280898875</v>
      </c>
      <c r="M7" s="1">
        <v>-251.04875999999999</v>
      </c>
      <c r="N7" s="1">
        <v>-32.093899999999998</v>
      </c>
    </row>
    <row r="8" spans="1:14" x14ac:dyDescent="0.4">
      <c r="B8" s="1">
        <v>0.35</v>
      </c>
      <c r="C8" s="1" t="s">
        <v>18</v>
      </c>
      <c r="D8" s="3">
        <f t="shared" si="0"/>
        <v>2005.5714304999999</v>
      </c>
      <c r="E8" s="1">
        <v>195.5437</v>
      </c>
      <c r="F8" s="1">
        <v>24.975100000000001</v>
      </c>
      <c r="G8" s="1">
        <v>41.2517</v>
      </c>
      <c r="H8" s="1">
        <v>23.099499999999999</v>
      </c>
      <c r="I8" s="1">
        <v>47.894100000000002</v>
      </c>
      <c r="J8" s="1">
        <f t="shared" si="1"/>
        <v>40.463439399999999</v>
      </c>
      <c r="K8" s="1">
        <v>4.5707199999999943</v>
      </c>
      <c r="L8" s="1">
        <f t="shared" si="2"/>
        <v>172.81143067415729</v>
      </c>
      <c r="M8" s="1">
        <v>-242.12312</v>
      </c>
      <c r="N8" s="1">
        <v>-30.836729999999999</v>
      </c>
    </row>
    <row r="9" spans="1:14" x14ac:dyDescent="0.4">
      <c r="B9" s="1">
        <v>0.4</v>
      </c>
      <c r="C9" s="1" t="s">
        <v>19</v>
      </c>
      <c r="D9" s="3">
        <f t="shared" si="0"/>
        <v>2005.500002</v>
      </c>
      <c r="E9" s="1">
        <v>325.07690000000002</v>
      </c>
      <c r="F9" s="1">
        <v>45.466000000000001</v>
      </c>
      <c r="G9" s="1">
        <v>13.989699999999999</v>
      </c>
      <c r="H9" s="1">
        <v>47.950499999999998</v>
      </c>
      <c r="I9" s="1">
        <v>46.448500000000003</v>
      </c>
      <c r="J9" s="1">
        <f t="shared" si="1"/>
        <v>34.095577800000001</v>
      </c>
      <c r="K9" s="1">
        <v>3.889489999999995</v>
      </c>
      <c r="L9" s="1">
        <f t="shared" si="2"/>
        <v>305.922081011236</v>
      </c>
      <c r="M9" s="1">
        <v>-229.61195000000001</v>
      </c>
      <c r="N9" s="1">
        <v>-29.18768</v>
      </c>
    </row>
    <row r="10" spans="1:14" x14ac:dyDescent="0.4">
      <c r="B10" s="1">
        <v>0.45</v>
      </c>
      <c r="C10" s="1" t="s">
        <v>20</v>
      </c>
      <c r="D10" s="3">
        <f t="shared" si="0"/>
        <v>2005.4285734999999</v>
      </c>
      <c r="E10" s="1">
        <v>266.48329999999999</v>
      </c>
      <c r="F10" s="1">
        <v>28.282800000000002</v>
      </c>
      <c r="G10" s="1">
        <v>23.233699999999999</v>
      </c>
      <c r="H10" s="1">
        <v>41.948999999999998</v>
      </c>
      <c r="I10" s="1">
        <v>72.542299999999997</v>
      </c>
      <c r="J10" s="1">
        <f t="shared" si="1"/>
        <v>62.4159346</v>
      </c>
      <c r="K10" s="1">
        <v>5.6827199999999891</v>
      </c>
      <c r="L10" s="1">
        <f t="shared" si="2"/>
        <v>231.41816820224719</v>
      </c>
      <c r="M10" s="1">
        <v>-227.9024</v>
      </c>
      <c r="N10" s="1">
        <v>-29.198139999999999</v>
      </c>
    </row>
    <row r="11" spans="1:14" x14ac:dyDescent="0.4">
      <c r="B11" s="1">
        <v>0.5</v>
      </c>
      <c r="C11" s="1" t="s">
        <v>21</v>
      </c>
      <c r="D11" s="3">
        <f t="shared" si="0"/>
        <v>2005.3571449999999</v>
      </c>
      <c r="E11" s="1">
        <v>222.1189</v>
      </c>
      <c r="F11" s="1">
        <v>22.920999999999999</v>
      </c>
      <c r="G11" s="1">
        <v>32.5152</v>
      </c>
      <c r="H11" s="1">
        <v>36.969099999999997</v>
      </c>
      <c r="I11" s="1">
        <v>77.955799999999996</v>
      </c>
      <c r="J11" s="1">
        <f t="shared" si="1"/>
        <v>69.515281799999997</v>
      </c>
      <c r="K11" s="1">
        <v>3.4382599999999854</v>
      </c>
      <c r="L11" s="1">
        <f t="shared" si="2"/>
        <v>183.06537089887641</v>
      </c>
      <c r="M11" s="1">
        <v>-236.70366000000001</v>
      </c>
      <c r="N11" s="1">
        <v>-30.01774</v>
      </c>
    </row>
    <row r="12" spans="1:14" x14ac:dyDescent="0.4">
      <c r="B12" s="1">
        <v>0.55000000000000004</v>
      </c>
      <c r="C12" s="1" t="s">
        <v>22</v>
      </c>
      <c r="D12" s="3">
        <f t="shared" si="0"/>
        <v>2005.2857165</v>
      </c>
      <c r="E12" s="1">
        <v>962.44259999999997</v>
      </c>
      <c r="F12" s="1">
        <v>106.108</v>
      </c>
      <c r="G12" s="1">
        <v>364.1671</v>
      </c>
      <c r="H12" s="1">
        <v>31.459199999999999</v>
      </c>
      <c r="I12" s="1">
        <v>307.3707</v>
      </c>
      <c r="J12" s="1">
        <f t="shared" si="1"/>
        <v>270.79788120000001</v>
      </c>
      <c r="K12" s="1">
        <v>3.4164799999999786</v>
      </c>
      <c r="L12" s="1">
        <f t="shared" si="2"/>
        <v>810.3089588764044</v>
      </c>
      <c r="M12" s="1">
        <v>-217.37208000000001</v>
      </c>
      <c r="N12" s="1">
        <v>-27.598569999999999</v>
      </c>
    </row>
    <row r="13" spans="1:14" x14ac:dyDescent="0.4">
      <c r="B13" s="1">
        <v>0.6</v>
      </c>
      <c r="C13" s="1" t="s">
        <v>23</v>
      </c>
      <c r="D13" s="3">
        <f t="shared" si="0"/>
        <v>2005.2142879999999</v>
      </c>
      <c r="E13" s="1">
        <v>79.516400000000004</v>
      </c>
      <c r="F13" s="1">
        <v>18.5291</v>
      </c>
      <c r="G13" s="1">
        <v>19.562100000000001</v>
      </c>
      <c r="H13" s="1">
        <v>15.094799999999999</v>
      </c>
      <c r="I13" s="1">
        <v>63.593600000000002</v>
      </c>
      <c r="J13" s="1">
        <f t="shared" si="1"/>
        <v>60.571976800000002</v>
      </c>
      <c r="K13" s="1">
        <v>3.7109999999999843</v>
      </c>
      <c r="L13" s="1">
        <f t="shared" si="2"/>
        <v>45.487199550561805</v>
      </c>
      <c r="M13" s="1">
        <v>-216.69596000000001</v>
      </c>
      <c r="N13" s="1">
        <v>-27.55087</v>
      </c>
    </row>
    <row r="14" spans="1:14" x14ac:dyDescent="0.4">
      <c r="B14" s="1">
        <v>0.65</v>
      </c>
      <c r="C14" s="1" t="s">
        <v>24</v>
      </c>
      <c r="D14" s="3">
        <f t="shared" si="0"/>
        <v>2005.1428595</v>
      </c>
      <c r="E14" s="1">
        <v>365.7448</v>
      </c>
      <c r="F14" s="1">
        <v>75.481499999999997</v>
      </c>
      <c r="G14" s="1">
        <v>225.4589</v>
      </c>
      <c r="H14" s="1">
        <v>18.068100000000001</v>
      </c>
      <c r="I14" s="1">
        <v>97.577399999999997</v>
      </c>
      <c r="J14" s="1">
        <f t="shared" si="1"/>
        <v>83.679097599999992</v>
      </c>
      <c r="K14" s="1">
        <v>3.9066300000000069</v>
      </c>
      <c r="L14" s="1">
        <f t="shared" si="2"/>
        <v>318.73407101123598</v>
      </c>
      <c r="M14" s="1">
        <v>-217.78944999999999</v>
      </c>
      <c r="N14" s="1">
        <v>-27.712009999999999</v>
      </c>
    </row>
    <row r="15" spans="1:14" x14ac:dyDescent="0.4">
      <c r="B15" s="1">
        <v>0.7</v>
      </c>
      <c r="C15" s="1" t="s">
        <v>25</v>
      </c>
      <c r="D15" s="3">
        <f t="shared" si="0"/>
        <v>2005.0714310000001</v>
      </c>
      <c r="E15" s="1">
        <v>9.4102999999999994</v>
      </c>
      <c r="F15" s="1">
        <v>13.477399999999999</v>
      </c>
      <c r="G15" s="1">
        <v>4.0646000000000004</v>
      </c>
      <c r="H15" s="1">
        <v>1.8748</v>
      </c>
      <c r="I15" s="1">
        <v>8.2628000000000004</v>
      </c>
      <c r="J15" s="1">
        <f t="shared" si="1"/>
        <v>7.9052086000000008</v>
      </c>
      <c r="K15" s="1">
        <v>4.7550099999999986</v>
      </c>
      <c r="L15" s="1">
        <f t="shared" si="2"/>
        <v>4.9691715730337069</v>
      </c>
      <c r="M15" s="1">
        <v>-206.43579</v>
      </c>
      <c r="N15" s="1">
        <v>-26.398849999999999</v>
      </c>
    </row>
    <row r="16" spans="1:14" x14ac:dyDescent="0.4">
      <c r="A16" s="1">
        <v>2005</v>
      </c>
      <c r="B16" s="1">
        <v>0.75</v>
      </c>
      <c r="C16" s="1" t="s">
        <v>26</v>
      </c>
      <c r="D16" s="3">
        <f>-2.222222*B16+2006.66667</f>
        <v>2005.0000035</v>
      </c>
      <c r="E16" s="1">
        <v>20.613800000000001</v>
      </c>
      <c r="F16" s="1">
        <v>9.1366999999999994</v>
      </c>
      <c r="G16" s="1">
        <v>9.7068999999999992</v>
      </c>
      <c r="H16" s="1">
        <v>7.2317</v>
      </c>
      <c r="I16" s="1">
        <v>29.131799999999998</v>
      </c>
      <c r="J16" s="1">
        <f t="shared" si="1"/>
        <v>28.348475599999997</v>
      </c>
      <c r="K16" s="1">
        <v>6.1951500000000124</v>
      </c>
      <c r="L16" s="1">
        <f t="shared" si="2"/>
        <v>4.6876901123595545</v>
      </c>
      <c r="M16" s="1">
        <v>-196.02981</v>
      </c>
      <c r="N16" s="1">
        <v>-25.278120000000001</v>
      </c>
    </row>
    <row r="17" spans="1:14" x14ac:dyDescent="0.4">
      <c r="B17" s="1">
        <v>0.8</v>
      </c>
      <c r="C17" s="1" t="s">
        <v>27</v>
      </c>
      <c r="D17" s="3">
        <f t="shared" ref="D17:D24" si="3">-2.222222*B17+2006.66667</f>
        <v>2004.8888924</v>
      </c>
      <c r="E17" s="1">
        <v>26.185400000000001</v>
      </c>
      <c r="F17" s="1">
        <v>10.825799999999999</v>
      </c>
      <c r="G17" s="1">
        <v>6.6654</v>
      </c>
      <c r="H17" s="1">
        <v>2.2665999999999999</v>
      </c>
      <c r="I17" s="1">
        <v>21.267199999999999</v>
      </c>
      <c r="J17" s="1">
        <f t="shared" si="1"/>
        <v>20.272154799999999</v>
      </c>
      <c r="K17" s="1">
        <v>5.9575299999999913</v>
      </c>
      <c r="L17" s="1">
        <f t="shared" si="2"/>
        <v>14.796548988764046</v>
      </c>
      <c r="M17" s="1">
        <v>-194.39847</v>
      </c>
      <c r="N17" s="1">
        <v>-25.044499999999999</v>
      </c>
    </row>
    <row r="18" spans="1:14" x14ac:dyDescent="0.4">
      <c r="B18" s="1">
        <v>0.85</v>
      </c>
      <c r="C18" s="1" t="s">
        <v>28</v>
      </c>
      <c r="D18" s="3">
        <f t="shared" si="3"/>
        <v>2004.7777813</v>
      </c>
      <c r="E18" s="1">
        <v>58.196300000000001</v>
      </c>
      <c r="F18" s="1">
        <v>47.888599999999997</v>
      </c>
      <c r="G18" s="1">
        <v>21.095099999999999</v>
      </c>
      <c r="H18" s="1">
        <v>11.262700000000001</v>
      </c>
      <c r="I18" s="1">
        <v>73.166700000000006</v>
      </c>
      <c r="J18" s="1">
        <f t="shared" si="1"/>
        <v>70.95524060000001</v>
      </c>
      <c r="K18" s="1">
        <v>5.5064799999999821</v>
      </c>
      <c r="L18" s="1">
        <f t="shared" si="2"/>
        <v>18.333805280898872</v>
      </c>
      <c r="M18" s="1">
        <v>-200.92104</v>
      </c>
      <c r="N18" s="1">
        <v>-25.803439999999998</v>
      </c>
    </row>
    <row r="19" spans="1:14" x14ac:dyDescent="0.4">
      <c r="B19" s="1">
        <v>0.9</v>
      </c>
      <c r="C19" s="1" t="s">
        <v>29</v>
      </c>
      <c r="D19" s="3">
        <f t="shared" si="3"/>
        <v>2004.6666702</v>
      </c>
      <c r="E19" s="1">
        <v>31.444299999999998</v>
      </c>
      <c r="F19" s="1">
        <v>10.4145</v>
      </c>
      <c r="G19" s="1">
        <v>6.0984999999999996</v>
      </c>
      <c r="H19" s="1">
        <v>13.729100000000001</v>
      </c>
      <c r="I19" s="1">
        <v>59.914000000000001</v>
      </c>
      <c r="J19" s="1">
        <f t="shared" si="1"/>
        <v>58.7191166</v>
      </c>
      <c r="K19" s="1">
        <v>6.7281300000000215</v>
      </c>
      <c r="L19" s="1">
        <f t="shared" si="2"/>
        <v>-1.5439677528089888</v>
      </c>
      <c r="M19" s="1">
        <v>-205.71682999999999</v>
      </c>
      <c r="N19" s="1">
        <v>-26.555620000000001</v>
      </c>
    </row>
    <row r="20" spans="1:14" x14ac:dyDescent="0.4">
      <c r="B20" s="1">
        <v>0.95</v>
      </c>
      <c r="C20" s="1" t="s">
        <v>30</v>
      </c>
      <c r="D20" s="3">
        <f t="shared" si="3"/>
        <v>2004.5555591</v>
      </c>
      <c r="E20" s="1">
        <v>37.759</v>
      </c>
      <c r="F20" s="1">
        <v>10.480399999999999</v>
      </c>
      <c r="G20" s="1">
        <v>15.8264</v>
      </c>
      <c r="H20" s="1">
        <v>21.6722</v>
      </c>
      <c r="I20" s="1">
        <v>85.053299999999993</v>
      </c>
      <c r="J20" s="1">
        <f t="shared" si="1"/>
        <v>83.61845799999999</v>
      </c>
      <c r="K20" s="1">
        <v>8.8112199999999916</v>
      </c>
      <c r="L20" s="1">
        <f t="shared" si="2"/>
        <v>-9.2176617977528039</v>
      </c>
      <c r="M20" s="1">
        <v>-209.09630000000001</v>
      </c>
      <c r="N20" s="1">
        <v>-27.238440000000001</v>
      </c>
    </row>
    <row r="21" spans="1:14" x14ac:dyDescent="0.4">
      <c r="B21" s="1">
        <v>1</v>
      </c>
      <c r="C21" s="1" t="s">
        <v>31</v>
      </c>
      <c r="D21" s="3">
        <f t="shared" si="3"/>
        <v>2004.444448</v>
      </c>
      <c r="E21" s="1">
        <v>29.5273</v>
      </c>
      <c r="F21" s="1">
        <v>29.196200000000001</v>
      </c>
      <c r="G21" s="1">
        <v>6.1169000000000002</v>
      </c>
      <c r="H21" s="1">
        <v>11.9048</v>
      </c>
      <c r="I21" s="1">
        <v>49.452199999999998</v>
      </c>
      <c r="J21" s="1">
        <f t="shared" si="1"/>
        <v>48.330162599999994</v>
      </c>
      <c r="K21" s="1">
        <v>5.9548499999999933</v>
      </c>
      <c r="L21" s="1">
        <f t="shared" si="2"/>
        <v>2.3755232584269699</v>
      </c>
      <c r="M21" s="1">
        <v>-213.78483</v>
      </c>
      <c r="N21" s="1">
        <v>-27.467459999999999</v>
      </c>
    </row>
    <row r="22" spans="1:14" x14ac:dyDescent="0.4">
      <c r="B22" s="1">
        <v>1.05</v>
      </c>
      <c r="C22" s="1" t="s">
        <v>32</v>
      </c>
      <c r="D22" s="3">
        <f t="shared" si="3"/>
        <v>2004.3333369000002</v>
      </c>
      <c r="E22" s="1">
        <v>45.0246</v>
      </c>
      <c r="F22" s="1">
        <v>51.684899999999999</v>
      </c>
      <c r="G22" s="1">
        <v>15.1678</v>
      </c>
      <c r="H22" s="1">
        <v>31.166399999999999</v>
      </c>
      <c r="I22" s="1">
        <v>112.4349</v>
      </c>
      <c r="J22" s="1">
        <f t="shared" si="1"/>
        <v>110.72396519999999</v>
      </c>
      <c r="K22" s="1">
        <v>2.5893000000000086</v>
      </c>
      <c r="L22" s="1">
        <f t="shared" si="2"/>
        <v>-17.179874831460673</v>
      </c>
      <c r="M22" s="1">
        <v>-220.19461999999999</v>
      </c>
      <c r="N22" s="1">
        <v>-27.847989999999999</v>
      </c>
    </row>
    <row r="23" spans="1:14" x14ac:dyDescent="0.4">
      <c r="B23" s="1">
        <v>1.1000000000000001</v>
      </c>
      <c r="C23" s="1" t="s">
        <v>33</v>
      </c>
      <c r="D23" s="3">
        <f t="shared" si="3"/>
        <v>2004.2222258000002</v>
      </c>
      <c r="E23" s="1">
        <v>26.377500000000001</v>
      </c>
      <c r="F23" s="1">
        <v>33.450699999999998</v>
      </c>
      <c r="G23" s="1">
        <v>5.1764999999999999</v>
      </c>
      <c r="H23" s="1">
        <v>8.9062999999999999</v>
      </c>
      <c r="I23" s="1">
        <v>41.3127</v>
      </c>
      <c r="J23" s="1">
        <f t="shared" si="1"/>
        <v>40.310355000000001</v>
      </c>
      <c r="K23" s="1">
        <v>1.1726799999999855</v>
      </c>
      <c r="L23" s="1">
        <f t="shared" si="2"/>
        <v>3.7312331460674173</v>
      </c>
      <c r="M23" s="1">
        <v>-220.12948</v>
      </c>
      <c r="N23" s="1">
        <v>-27.662769999999998</v>
      </c>
    </row>
    <row r="24" spans="1:14" x14ac:dyDescent="0.4">
      <c r="B24" s="1">
        <v>1.1499999999999999</v>
      </c>
      <c r="C24" s="1" t="s">
        <v>34</v>
      </c>
      <c r="D24" s="3">
        <f t="shared" si="3"/>
        <v>2004.1111147000001</v>
      </c>
      <c r="E24" s="1">
        <v>71.164599999999993</v>
      </c>
      <c r="F24" s="1">
        <v>19.104299999999999</v>
      </c>
      <c r="G24" s="1">
        <v>32.797400000000003</v>
      </c>
      <c r="H24" s="1">
        <v>19.720300000000002</v>
      </c>
      <c r="I24" s="1">
        <v>86.155799999999999</v>
      </c>
      <c r="J24" s="1">
        <f t="shared" si="1"/>
        <v>83.451545199999998</v>
      </c>
      <c r="K24" s="1">
        <v>3.7387699999999882</v>
      </c>
      <c r="L24" s="1">
        <f t="shared" si="2"/>
        <v>24.281709438202242</v>
      </c>
      <c r="M24" s="1">
        <v>-209.15115</v>
      </c>
      <c r="N24" s="1">
        <v>-26.611239999999999</v>
      </c>
    </row>
    <row r="25" spans="1:14" x14ac:dyDescent="0.4">
      <c r="A25" s="1">
        <v>2004</v>
      </c>
      <c r="B25" s="1">
        <v>1.2</v>
      </c>
      <c r="C25" s="1" t="s">
        <v>35</v>
      </c>
      <c r="D25" s="3">
        <f>-1.17647*B25+2005.41176</f>
        <v>2003.999996</v>
      </c>
      <c r="E25" s="1">
        <v>24.600200000000001</v>
      </c>
      <c r="F25" s="1">
        <v>49.370199999999997</v>
      </c>
      <c r="G25" s="1">
        <v>6.1108000000000002</v>
      </c>
      <c r="H25" s="1">
        <v>6.1466000000000003</v>
      </c>
      <c r="I25" s="1">
        <v>36.874299999999998</v>
      </c>
      <c r="J25" s="1">
        <f t="shared" si="1"/>
        <v>35.939492399999999</v>
      </c>
      <c r="K25" s="1">
        <v>4.9437599999999975</v>
      </c>
      <c r="L25" s="1">
        <f t="shared" si="2"/>
        <v>4.4094739325842731</v>
      </c>
      <c r="M25" s="1">
        <v>-204.69247999999999</v>
      </c>
      <c r="N25" s="1">
        <v>-26.204529999999998</v>
      </c>
    </row>
    <row r="26" spans="1:14" x14ac:dyDescent="0.4">
      <c r="B26" s="1">
        <v>1.25</v>
      </c>
      <c r="C26" s="1" t="s">
        <v>36</v>
      </c>
      <c r="D26" s="3">
        <f t="shared" ref="D26:D41" si="4">-1.17647*B26+2005.41176</f>
        <v>2003.9411725</v>
      </c>
      <c r="E26" s="1">
        <v>18.857299999999999</v>
      </c>
      <c r="F26" s="1">
        <v>32.736499999999999</v>
      </c>
      <c r="G26" s="1">
        <v>9.7167999999999992</v>
      </c>
      <c r="H26" s="1">
        <v>9.2217000000000002</v>
      </c>
      <c r="I26" s="1">
        <v>35.689900000000002</v>
      </c>
      <c r="J26" s="1">
        <f t="shared" si="1"/>
        <v>34.973322600000003</v>
      </c>
      <c r="K26" s="1">
        <v>5.8881700000000023</v>
      </c>
      <c r="L26" s="1">
        <f t="shared" si="2"/>
        <v>-0.79063404494382183</v>
      </c>
      <c r="M26" s="1">
        <v>-201.50263000000001</v>
      </c>
      <c r="N26" s="1">
        <v>-25.923850000000002</v>
      </c>
    </row>
    <row r="27" spans="1:14" x14ac:dyDescent="0.4">
      <c r="B27" s="1">
        <v>1.3</v>
      </c>
      <c r="C27" s="1" t="s">
        <v>37</v>
      </c>
      <c r="D27" s="3">
        <f t="shared" si="4"/>
        <v>2003.882349</v>
      </c>
      <c r="E27" s="1">
        <v>22.1386</v>
      </c>
      <c r="F27" s="1">
        <v>16.1448</v>
      </c>
      <c r="G27" s="1">
        <v>5.8784000000000001</v>
      </c>
      <c r="H27" s="1">
        <v>6.8895999999999997</v>
      </c>
      <c r="I27" s="1">
        <v>44.672899999999998</v>
      </c>
      <c r="J27" s="1">
        <f t="shared" si="1"/>
        <v>43.831633199999999</v>
      </c>
      <c r="K27" s="1">
        <v>6.4742200000000025</v>
      </c>
      <c r="L27" s="1">
        <f t="shared" si="2"/>
        <v>-2.4859130337078632</v>
      </c>
      <c r="M27" s="1">
        <v>-200.90314000000001</v>
      </c>
      <c r="N27" s="1">
        <v>-25.922170000000001</v>
      </c>
    </row>
    <row r="28" spans="1:14" x14ac:dyDescent="0.4">
      <c r="B28" s="1">
        <v>1.35</v>
      </c>
      <c r="C28" s="1" t="s">
        <v>38</v>
      </c>
      <c r="D28" s="3">
        <f t="shared" si="4"/>
        <v>2003.8235255</v>
      </c>
      <c r="E28" s="1">
        <v>24.626300000000001</v>
      </c>
      <c r="F28" s="1">
        <v>26.0413</v>
      </c>
      <c r="G28" s="1">
        <v>11.2662</v>
      </c>
      <c r="H28" s="1">
        <v>18.761700000000001</v>
      </c>
      <c r="I28" s="1">
        <v>77.869699999999995</v>
      </c>
      <c r="J28" s="1">
        <f t="shared" si="1"/>
        <v>76.933900600000001</v>
      </c>
      <c r="K28" s="1">
        <v>8.9518900000000201</v>
      </c>
      <c r="L28" s="1">
        <f t="shared" si="2"/>
        <v>-18.594992471910111</v>
      </c>
      <c r="M28" s="1">
        <v>-200.11474999999999</v>
      </c>
      <c r="N28" s="1">
        <v>-26.133330000000001</v>
      </c>
    </row>
    <row r="29" spans="1:14" x14ac:dyDescent="0.4">
      <c r="B29" s="1">
        <v>1.4</v>
      </c>
      <c r="C29" s="1" t="s">
        <v>39</v>
      </c>
      <c r="D29" s="3">
        <f t="shared" si="4"/>
        <v>2003.7647019999999</v>
      </c>
      <c r="E29" s="1">
        <v>12.4308</v>
      </c>
      <c r="F29" s="1">
        <v>13.2925</v>
      </c>
      <c r="G29" s="1">
        <v>3.1305999999999998</v>
      </c>
      <c r="H29" s="1">
        <v>0.94140000000000001</v>
      </c>
      <c r="I29" s="1">
        <v>14.408099999999999</v>
      </c>
      <c r="J29" s="1">
        <f t="shared" si="1"/>
        <v>13.935729599999998</v>
      </c>
      <c r="K29" s="1">
        <v>7.9927999999999884</v>
      </c>
      <c r="L29" s="1">
        <f t="shared" si="2"/>
        <v>4.6017384269662926</v>
      </c>
      <c r="M29" s="1">
        <v>-205.3536</v>
      </c>
      <c r="N29" s="1">
        <v>-26.668299999999999</v>
      </c>
    </row>
    <row r="30" spans="1:14" x14ac:dyDescent="0.4">
      <c r="B30" s="1">
        <v>1.45</v>
      </c>
      <c r="C30" s="1" t="s">
        <v>40</v>
      </c>
      <c r="D30" s="3">
        <f t="shared" si="4"/>
        <v>2003.7058784999999</v>
      </c>
      <c r="E30" s="1">
        <v>32.105800000000002</v>
      </c>
      <c r="F30" s="1">
        <v>19.4543</v>
      </c>
      <c r="G30" s="1">
        <v>19.851700000000001</v>
      </c>
      <c r="H30" s="1">
        <v>19.586300000000001</v>
      </c>
      <c r="I30" s="1">
        <v>73.751199999999997</v>
      </c>
      <c r="J30" s="1">
        <f t="shared" si="1"/>
        <v>72.531179600000002</v>
      </c>
      <c r="K30" s="1">
        <v>6.3475000000000001</v>
      </c>
      <c r="L30" s="1">
        <f t="shared" si="2"/>
        <v>-8.6420537078651662</v>
      </c>
      <c r="M30" s="1">
        <v>-213.26410000000001</v>
      </c>
      <c r="N30" s="1">
        <v>-27.451450000000001</v>
      </c>
    </row>
    <row r="31" spans="1:14" x14ac:dyDescent="0.4">
      <c r="B31" s="1">
        <v>1.5</v>
      </c>
      <c r="C31" s="1" t="s">
        <v>41</v>
      </c>
      <c r="D31" s="3">
        <f t="shared" si="4"/>
        <v>2003.6470549999999</v>
      </c>
      <c r="E31" s="1">
        <v>116.0823</v>
      </c>
      <c r="F31" s="1">
        <v>14.120699999999999</v>
      </c>
      <c r="G31" s="1">
        <v>12.3969</v>
      </c>
      <c r="H31" s="1">
        <v>14.4275</v>
      </c>
      <c r="I31" s="1">
        <v>28.110700000000001</v>
      </c>
      <c r="J31" s="1">
        <f t="shared" si="1"/>
        <v>23.699572600000003</v>
      </c>
      <c r="K31" s="1">
        <v>1.3415999999999997</v>
      </c>
      <c r="L31" s="1">
        <f t="shared" si="2"/>
        <v>102.76793337078652</v>
      </c>
      <c r="M31" s="1">
        <v>-245.74160000000001</v>
      </c>
      <c r="N31" s="1">
        <v>-30.885400000000001</v>
      </c>
    </row>
    <row r="32" spans="1:14" x14ac:dyDescent="0.4">
      <c r="B32" s="1">
        <v>1.55</v>
      </c>
      <c r="C32" s="1" t="s">
        <v>42</v>
      </c>
      <c r="D32" s="3">
        <f t="shared" si="4"/>
        <v>2003.5882314999999</v>
      </c>
      <c r="E32" s="1">
        <v>102.6258</v>
      </c>
      <c r="F32" s="1">
        <v>27.889700000000001</v>
      </c>
      <c r="G32" s="1">
        <v>12.8901</v>
      </c>
      <c r="H32" s="1">
        <v>17.039200000000001</v>
      </c>
      <c r="I32" s="1">
        <v>36.537500000000001</v>
      </c>
      <c r="J32" s="1">
        <f t="shared" si="1"/>
        <v>32.637719600000004</v>
      </c>
      <c r="K32" s="1">
        <v>2.0108999999999924</v>
      </c>
      <c r="L32" s="1">
        <f t="shared" si="2"/>
        <v>84.2900024719101</v>
      </c>
      <c r="M32" s="1">
        <v>-239.40006</v>
      </c>
      <c r="N32" s="1">
        <v>-30.176369999999999</v>
      </c>
    </row>
    <row r="33" spans="1:14" x14ac:dyDescent="0.4">
      <c r="B33" s="1">
        <v>1.6</v>
      </c>
      <c r="C33" s="1" t="s">
        <v>43</v>
      </c>
      <c r="D33" s="3">
        <f t="shared" si="4"/>
        <v>2003.5294079999999</v>
      </c>
      <c r="E33" s="1">
        <v>16.996099999999998</v>
      </c>
      <c r="F33" s="1">
        <v>14.5749</v>
      </c>
      <c r="G33" s="1">
        <v>3.0209999999999999</v>
      </c>
      <c r="H33" s="1">
        <v>3.0223</v>
      </c>
      <c r="I33" s="1">
        <v>13.207599999999999</v>
      </c>
      <c r="J33" s="1">
        <f t="shared" si="1"/>
        <v>12.5617482</v>
      </c>
      <c r="K33" s="1">
        <v>2.3695999999999913</v>
      </c>
      <c r="L33" s="1">
        <f t="shared" si="2"/>
        <v>9.9389380898876389</v>
      </c>
      <c r="M33" s="1">
        <v>-222.62224000000001</v>
      </c>
      <c r="N33" s="1">
        <v>-28.12398</v>
      </c>
    </row>
    <row r="34" spans="1:14" x14ac:dyDescent="0.4">
      <c r="B34" s="1">
        <v>1.65</v>
      </c>
      <c r="C34" s="1" t="s">
        <v>44</v>
      </c>
      <c r="D34" s="3">
        <f t="shared" si="4"/>
        <v>2003.4705844999999</v>
      </c>
      <c r="E34" s="1">
        <v>62.466999999999999</v>
      </c>
      <c r="F34" s="1">
        <v>31.05</v>
      </c>
      <c r="G34" s="1">
        <v>24.153500000000001</v>
      </c>
      <c r="H34" s="1">
        <v>22.700700000000001</v>
      </c>
      <c r="I34" s="1">
        <v>89.990099999999998</v>
      </c>
      <c r="J34" s="1">
        <f t="shared" si="1"/>
        <v>87.616354000000001</v>
      </c>
      <c r="K34" s="1">
        <v>0.20029999999999859</v>
      </c>
      <c r="L34" s="1">
        <f t="shared" si="2"/>
        <v>13.244329213483148</v>
      </c>
      <c r="M34" s="1">
        <v>-215.09162000000001</v>
      </c>
      <c r="N34" s="1">
        <v>-26.911490000000001</v>
      </c>
    </row>
    <row r="35" spans="1:14" x14ac:dyDescent="0.4">
      <c r="B35" s="1">
        <v>1.7</v>
      </c>
      <c r="C35" s="1" t="s">
        <v>45</v>
      </c>
      <c r="D35" s="3">
        <f t="shared" si="4"/>
        <v>2003.4117610000001</v>
      </c>
      <c r="E35" s="1">
        <v>279.78859999999997</v>
      </c>
      <c r="F35" s="1">
        <v>102.1553</v>
      </c>
      <c r="G35" s="1">
        <v>134.6078</v>
      </c>
      <c r="H35" s="1">
        <v>24.7409</v>
      </c>
      <c r="I35" s="1">
        <v>92.482500000000002</v>
      </c>
      <c r="J35" s="1">
        <f t="shared" si="1"/>
        <v>81.850533200000001</v>
      </c>
      <c r="K35" s="1">
        <v>2.0108600000000081</v>
      </c>
      <c r="L35" s="1">
        <f t="shared" si="2"/>
        <v>233.80515438202244</v>
      </c>
      <c r="M35" s="1">
        <v>-239.58562000000001</v>
      </c>
      <c r="N35" s="1">
        <v>-30.199560000000002</v>
      </c>
    </row>
    <row r="36" spans="1:14" x14ac:dyDescent="0.4">
      <c r="B36" s="1">
        <v>1.75</v>
      </c>
      <c r="C36" s="1" t="s">
        <v>46</v>
      </c>
      <c r="D36" s="3">
        <f t="shared" si="4"/>
        <v>2003.3529375000001</v>
      </c>
      <c r="E36" s="1">
        <v>90.532600000000002</v>
      </c>
      <c r="F36" s="1">
        <v>34.128</v>
      </c>
      <c r="G36" s="1">
        <v>15.063800000000001</v>
      </c>
      <c r="H36" s="1">
        <v>15.194900000000001</v>
      </c>
      <c r="I36" s="1">
        <v>56.3249</v>
      </c>
      <c r="J36" s="1">
        <f t="shared" si="1"/>
        <v>52.884661199999996</v>
      </c>
      <c r="K36" s="1">
        <v>5.4747699999999782</v>
      </c>
      <c r="L36" s="1">
        <f t="shared" si="2"/>
        <v>60.822116179775286</v>
      </c>
      <c r="M36" s="1">
        <v>-244.05187000000001</v>
      </c>
      <c r="N36" s="1">
        <v>-31.190829999999998</v>
      </c>
    </row>
    <row r="37" spans="1:14" x14ac:dyDescent="0.4">
      <c r="B37" s="1">
        <v>1.8</v>
      </c>
      <c r="C37" s="1" t="s">
        <v>47</v>
      </c>
      <c r="D37" s="3">
        <f t="shared" si="4"/>
        <v>2003.294114</v>
      </c>
      <c r="E37" s="1">
        <v>37.6706</v>
      </c>
      <c r="F37" s="1">
        <v>13.3453</v>
      </c>
      <c r="G37" s="1">
        <v>6.3592000000000004</v>
      </c>
      <c r="H37" s="1">
        <v>6.1497999999999999</v>
      </c>
      <c r="I37" s="1">
        <v>34.0931</v>
      </c>
      <c r="J37" s="1">
        <f t="shared" si="1"/>
        <v>32.661617200000002</v>
      </c>
      <c r="K37" s="1">
        <v>8.1909599999999898</v>
      </c>
      <c r="L37" s="1">
        <f t="shared" si="2"/>
        <v>19.321376853932584</v>
      </c>
      <c r="M37" s="1">
        <v>-237.8896</v>
      </c>
      <c r="N37" s="1">
        <v>-30.760069999999999</v>
      </c>
    </row>
    <row r="38" spans="1:14" x14ac:dyDescent="0.4">
      <c r="B38" s="1">
        <v>1.85</v>
      </c>
      <c r="C38" s="1" t="s">
        <v>48</v>
      </c>
      <c r="D38" s="3">
        <f t="shared" si="4"/>
        <v>2003.2352905</v>
      </c>
      <c r="E38" s="1">
        <v>63.394199999999998</v>
      </c>
      <c r="F38" s="1">
        <v>29.225000000000001</v>
      </c>
      <c r="G38" s="1">
        <v>9.6393000000000004</v>
      </c>
      <c r="H38" s="1">
        <v>15.427199999999999</v>
      </c>
      <c r="I38" s="1">
        <v>44.426400000000001</v>
      </c>
      <c r="J38" s="1">
        <f t="shared" si="1"/>
        <v>42.017420399999999</v>
      </c>
      <c r="K38" s="1">
        <v>6.5672899999999856</v>
      </c>
      <c r="L38" s="1">
        <f t="shared" si="2"/>
        <v>39.788907640449438</v>
      </c>
      <c r="M38" s="1">
        <v>-228.11623</v>
      </c>
      <c r="N38" s="1">
        <v>-29.335439999999998</v>
      </c>
    </row>
    <row r="39" spans="1:14" x14ac:dyDescent="0.4">
      <c r="B39" s="1">
        <v>1.9</v>
      </c>
      <c r="C39" s="1" t="s">
        <v>49</v>
      </c>
      <c r="D39" s="3">
        <f t="shared" si="4"/>
        <v>2003.176467</v>
      </c>
      <c r="E39" s="1">
        <v>439.9898</v>
      </c>
      <c r="F39" s="1">
        <v>44.6753</v>
      </c>
      <c r="G39" s="1">
        <v>251.72909999999999</v>
      </c>
      <c r="H39" s="1">
        <v>12.8932</v>
      </c>
      <c r="I39" s="1">
        <v>68.8352</v>
      </c>
      <c r="J39" s="1">
        <f t="shared" si="1"/>
        <v>52.115587599999998</v>
      </c>
      <c r="K39" s="1">
        <v>7.1639599999999746</v>
      </c>
      <c r="L39" s="1">
        <f t="shared" si="2"/>
        <v>410.71138000000002</v>
      </c>
      <c r="M39" s="1">
        <v>-225.69900000000001</v>
      </c>
      <c r="N39" s="1">
        <v>-29.107869999999998</v>
      </c>
    </row>
    <row r="40" spans="1:14" x14ac:dyDescent="0.4">
      <c r="B40" s="1">
        <v>1.95</v>
      </c>
      <c r="C40" s="1" t="s">
        <v>50</v>
      </c>
      <c r="D40" s="3">
        <f t="shared" si="4"/>
        <v>2003.1176435</v>
      </c>
      <c r="E40" s="1">
        <v>37.724899999999998</v>
      </c>
      <c r="F40" s="1">
        <v>23.115600000000001</v>
      </c>
      <c r="G40" s="1">
        <v>8.4689999999999994</v>
      </c>
      <c r="H40" s="1">
        <v>12.803900000000001</v>
      </c>
      <c r="I40" s="1">
        <v>43.123699999999999</v>
      </c>
      <c r="J40" s="1">
        <f t="shared" si="1"/>
        <v>41.690153799999997</v>
      </c>
      <c r="K40" s="1">
        <v>3.9405500000000018</v>
      </c>
      <c r="L40" s="1">
        <f t="shared" si="2"/>
        <v>14.303465280898877</v>
      </c>
      <c r="M40" s="1">
        <v>-226.36017000000001</v>
      </c>
      <c r="N40" s="1">
        <v>-28.787590000000002</v>
      </c>
    </row>
    <row r="41" spans="1:14" x14ac:dyDescent="0.4">
      <c r="B41" s="1">
        <v>2</v>
      </c>
      <c r="C41" s="1" t="s">
        <v>51</v>
      </c>
      <c r="D41" s="3">
        <f t="shared" si="4"/>
        <v>2003.05882</v>
      </c>
      <c r="E41" s="1">
        <v>32.163400000000003</v>
      </c>
      <c r="F41" s="1">
        <v>18.018799999999999</v>
      </c>
      <c r="G41" s="1">
        <v>8.6804000000000006</v>
      </c>
      <c r="H41" s="1">
        <v>6.1258999999999997</v>
      </c>
      <c r="I41" s="1">
        <v>40.6233</v>
      </c>
      <c r="J41" s="1">
        <f t="shared" si="1"/>
        <v>39.401090799999999</v>
      </c>
      <c r="K41" s="1">
        <v>3.9986299999999915</v>
      </c>
      <c r="L41" s="1">
        <f t="shared" si="2"/>
        <v>10.027955730337084</v>
      </c>
      <c r="M41" s="1">
        <v>-223.77721</v>
      </c>
      <c r="N41" s="1">
        <v>-28.471979999999999</v>
      </c>
    </row>
    <row r="42" spans="1:14" x14ac:dyDescent="0.4">
      <c r="A42" s="1">
        <v>2003</v>
      </c>
      <c r="B42" s="1">
        <v>2.0499999999999998</v>
      </c>
      <c r="C42" s="1" t="s">
        <v>52</v>
      </c>
      <c r="D42" s="3">
        <f>-1.42857*B42+2005.92857</f>
        <v>2003.0000015000001</v>
      </c>
      <c r="E42" s="1">
        <v>120.48</v>
      </c>
      <c r="F42" s="1">
        <v>23.577000000000002</v>
      </c>
      <c r="G42" s="1">
        <v>58.6965</v>
      </c>
      <c r="H42" s="1">
        <v>16.287700000000001</v>
      </c>
      <c r="I42" s="1">
        <v>65.583699999999993</v>
      </c>
      <c r="J42" s="1">
        <f t="shared" si="1"/>
        <v>61.005459999999992</v>
      </c>
      <c r="K42" s="1">
        <v>2.6790499999999895</v>
      </c>
      <c r="L42" s="1">
        <f t="shared" si="2"/>
        <v>86.207269662921362</v>
      </c>
      <c r="M42" s="1">
        <v>-207.80751000000001</v>
      </c>
      <c r="N42" s="1">
        <v>-26.31082</v>
      </c>
    </row>
    <row r="43" spans="1:14" x14ac:dyDescent="0.4">
      <c r="B43" s="1">
        <v>2.1</v>
      </c>
      <c r="C43" s="1" t="s">
        <v>53</v>
      </c>
      <c r="D43" s="3">
        <f t="shared" ref="D43:D54" si="5">-1.42857*B43+2005.92857</f>
        <v>2002.9285730000001</v>
      </c>
      <c r="E43" s="1">
        <v>134.06129999999999</v>
      </c>
      <c r="F43" s="1">
        <v>23.814699999999998</v>
      </c>
      <c r="G43" s="1">
        <v>66.977599999999995</v>
      </c>
      <c r="H43" s="1">
        <v>1.7293000000000001</v>
      </c>
      <c r="I43" s="1">
        <v>15.820399999999999</v>
      </c>
      <c r="J43" s="1">
        <f t="shared" si="1"/>
        <v>10.7260706</v>
      </c>
      <c r="K43" s="1">
        <v>1.5705600000000004</v>
      </c>
      <c r="L43" s="1">
        <f t="shared" si="2"/>
        <v>128.03541764044942</v>
      </c>
      <c r="M43" s="1">
        <v>-206.68647999999999</v>
      </c>
      <c r="N43" s="1">
        <v>-26.032129999999999</v>
      </c>
    </row>
    <row r="44" spans="1:14" x14ac:dyDescent="0.4">
      <c r="B44" s="1">
        <v>2.15</v>
      </c>
      <c r="C44" s="1" t="s">
        <v>54</v>
      </c>
      <c r="D44" s="3">
        <f t="shared" si="5"/>
        <v>2002.8571445</v>
      </c>
      <c r="E44" s="1">
        <v>94.1965</v>
      </c>
      <c r="F44" s="1">
        <v>48.845500000000001</v>
      </c>
      <c r="G44" s="1">
        <v>55.073599999999999</v>
      </c>
      <c r="H44" s="1">
        <v>11.653600000000001</v>
      </c>
      <c r="I44" s="1">
        <v>51.650100000000002</v>
      </c>
      <c r="J44" s="1">
        <f t="shared" si="1"/>
        <v>48.070633000000001</v>
      </c>
      <c r="K44" s="1">
        <v>2.1746499999999855</v>
      </c>
      <c r="L44" s="1">
        <f t="shared" si="2"/>
        <v>67.190526404494378</v>
      </c>
      <c r="M44" s="1">
        <v>-207.38127</v>
      </c>
      <c r="N44" s="1">
        <v>-26.194489999999998</v>
      </c>
    </row>
    <row r="45" spans="1:14" x14ac:dyDescent="0.4">
      <c r="B45" s="1">
        <v>2.2000000000000002</v>
      </c>
      <c r="C45" s="1" t="s">
        <v>55</v>
      </c>
      <c r="D45" s="3">
        <f t="shared" si="5"/>
        <v>2002.7857160000001</v>
      </c>
      <c r="E45" s="1">
        <v>169.7587</v>
      </c>
      <c r="F45" s="1">
        <v>69.083500000000001</v>
      </c>
      <c r="G45" s="1">
        <v>98.475200000000001</v>
      </c>
      <c r="H45" s="1">
        <v>3.4051999999999998</v>
      </c>
      <c r="I45" s="1">
        <v>77.644400000000005</v>
      </c>
      <c r="J45" s="1">
        <f t="shared" si="1"/>
        <v>71.193569400000001</v>
      </c>
      <c r="K45" s="1">
        <v>0.99260000000001014</v>
      </c>
      <c r="L45" s="1">
        <f t="shared" si="2"/>
        <v>129.76231269662921</v>
      </c>
      <c r="M45" s="1">
        <v>-210.35355999999999</v>
      </c>
      <c r="N45" s="1">
        <v>-26.41827</v>
      </c>
    </row>
    <row r="46" spans="1:14" x14ac:dyDescent="0.4">
      <c r="B46" s="1">
        <v>2.2999999999999998</v>
      </c>
      <c r="C46" s="1" t="s">
        <v>56</v>
      </c>
      <c r="D46" s="3">
        <f t="shared" si="5"/>
        <v>2002.642859</v>
      </c>
      <c r="E46" s="1">
        <v>46.860399999999998</v>
      </c>
      <c r="F46" s="1">
        <v>40.1721</v>
      </c>
      <c r="G46" s="1">
        <v>10.585100000000001</v>
      </c>
      <c r="H46" s="1">
        <v>12.545199999999999</v>
      </c>
      <c r="I46" s="1">
        <v>68.967799999999997</v>
      </c>
      <c r="J46" s="1">
        <f t="shared" si="1"/>
        <v>67.1871048</v>
      </c>
      <c r="K46" s="1">
        <v>1.0413599999999974</v>
      </c>
      <c r="L46" s="1">
        <f t="shared" si="2"/>
        <v>9.1148355056179753</v>
      </c>
      <c r="M46" s="1">
        <v>-228.97824</v>
      </c>
      <c r="N46" s="1">
        <v>-28.75245</v>
      </c>
    </row>
    <row r="47" spans="1:14" x14ac:dyDescent="0.4">
      <c r="B47" s="1">
        <v>2.35</v>
      </c>
      <c r="C47" s="1" t="s">
        <v>57</v>
      </c>
      <c r="D47" s="3">
        <f t="shared" si="5"/>
        <v>2002.5714305000001</v>
      </c>
      <c r="E47" s="1">
        <v>49.659300000000002</v>
      </c>
      <c r="F47" s="1">
        <v>70.451499999999996</v>
      </c>
      <c r="G47" s="1">
        <v>18.5121</v>
      </c>
      <c r="H47" s="1">
        <v>63.714199999999998</v>
      </c>
      <c r="I47" s="1">
        <v>197.1891</v>
      </c>
      <c r="J47" s="1">
        <f t="shared" si="1"/>
        <v>195.30204659999998</v>
      </c>
      <c r="K47" s="1">
        <v>3.1743299999999977</v>
      </c>
      <c r="L47" s="1">
        <f t="shared" si="2"/>
        <v>-60.060950898876385</v>
      </c>
      <c r="M47" s="1">
        <v>-235.51871</v>
      </c>
      <c r="N47" s="1">
        <v>-29.83663</v>
      </c>
    </row>
    <row r="48" spans="1:14" x14ac:dyDescent="0.4">
      <c r="B48" s="1">
        <v>2.4</v>
      </c>
      <c r="C48" s="1" t="s">
        <v>58</v>
      </c>
      <c r="D48" s="3">
        <f t="shared" si="5"/>
        <v>2002.500002</v>
      </c>
      <c r="E48" s="1">
        <v>47.575800000000001</v>
      </c>
      <c r="F48" s="1">
        <v>8.3407999999999998</v>
      </c>
      <c r="G48" s="1">
        <v>14.136100000000001</v>
      </c>
      <c r="H48" s="1">
        <v>12.032400000000001</v>
      </c>
      <c r="I48" s="1">
        <v>67.880099999999999</v>
      </c>
      <c r="J48" s="1">
        <f t="shared" si="1"/>
        <v>66.072219599999997</v>
      </c>
      <c r="K48" s="1">
        <v>3.4671100000000195</v>
      </c>
      <c r="L48" s="1">
        <f t="shared" si="2"/>
        <v>10.456575505617984</v>
      </c>
      <c r="M48" s="1">
        <v>-239.84784999999999</v>
      </c>
      <c r="N48" s="1">
        <v>-30.414370000000002</v>
      </c>
    </row>
    <row r="49" spans="1:14" x14ac:dyDescent="0.4">
      <c r="B49" s="1">
        <v>2.4500000000000002</v>
      </c>
      <c r="C49" s="1" t="s">
        <v>59</v>
      </c>
      <c r="D49" s="3">
        <f t="shared" si="5"/>
        <v>2002.4285735000001</v>
      </c>
      <c r="E49" s="1">
        <v>37.859099999999998</v>
      </c>
      <c r="F49" s="1">
        <v>26.5885</v>
      </c>
      <c r="G49" s="1">
        <v>15.1204</v>
      </c>
      <c r="H49" s="1">
        <v>39.564700000000002</v>
      </c>
      <c r="I49" s="1">
        <v>121.37260000000001</v>
      </c>
      <c r="J49" s="1">
        <f t="shared" si="1"/>
        <v>119.9339542</v>
      </c>
      <c r="K49" s="1">
        <v>4.4326599999999985</v>
      </c>
      <c r="L49" s="1">
        <f t="shared" si="2"/>
        <v>-29.519525955056181</v>
      </c>
      <c r="M49" s="1">
        <v>-237.91246000000001</v>
      </c>
      <c r="N49" s="1">
        <v>-30.293140000000001</v>
      </c>
    </row>
    <row r="50" spans="1:14" x14ac:dyDescent="0.4">
      <c r="B50" s="1">
        <v>2.5</v>
      </c>
      <c r="C50" s="1" t="s">
        <v>60</v>
      </c>
      <c r="D50" s="3">
        <f t="shared" si="5"/>
        <v>2002.3571449999999</v>
      </c>
      <c r="E50" s="1">
        <v>155.97120000000001</v>
      </c>
      <c r="F50" s="1">
        <v>13.171099999999999</v>
      </c>
      <c r="G50" s="1">
        <v>12.9665</v>
      </c>
      <c r="H50" s="1">
        <v>21.976600000000001</v>
      </c>
      <c r="I50" s="1">
        <v>77.716300000000004</v>
      </c>
      <c r="J50" s="1">
        <f t="shared" si="1"/>
        <v>71.789394400000006</v>
      </c>
      <c r="K50" s="1">
        <v>4.1629800000000046</v>
      </c>
      <c r="L50" s="1">
        <f t="shared" si="2"/>
        <v>115.64007955056181</v>
      </c>
      <c r="M50" s="1">
        <v>-239.17429999999999</v>
      </c>
      <c r="N50" s="1">
        <v>-30.417159999999999</v>
      </c>
    </row>
    <row r="51" spans="1:14" x14ac:dyDescent="0.4">
      <c r="B51" s="1">
        <v>2.5499999999999998</v>
      </c>
      <c r="C51" s="1" t="s">
        <v>61</v>
      </c>
      <c r="D51" s="3">
        <f t="shared" si="5"/>
        <v>2002.2857165</v>
      </c>
      <c r="E51" s="1">
        <v>220.4853</v>
      </c>
      <c r="F51" s="1">
        <v>33.758200000000002</v>
      </c>
      <c r="G51" s="1">
        <v>23.475300000000001</v>
      </c>
      <c r="H51" s="1">
        <v>105.8646</v>
      </c>
      <c r="I51" s="1">
        <v>251.06700000000001</v>
      </c>
      <c r="J51" s="1">
        <f t="shared" si="1"/>
        <v>242.68855860000002</v>
      </c>
      <c r="K51" s="1">
        <v>5.1350400000000036</v>
      </c>
      <c r="L51" s="1">
        <f t="shared" si="2"/>
        <v>84.143413146067388</v>
      </c>
      <c r="M51" s="1">
        <v>-241.23792</v>
      </c>
      <c r="N51" s="1">
        <v>-30.796620000000001</v>
      </c>
    </row>
    <row r="52" spans="1:14" x14ac:dyDescent="0.4">
      <c r="B52" s="1">
        <v>2.6</v>
      </c>
      <c r="C52" s="1" t="s">
        <v>62</v>
      </c>
      <c r="D52" s="3">
        <f t="shared" si="5"/>
        <v>2002.2142880000001</v>
      </c>
      <c r="E52" s="1">
        <v>180.43709999999999</v>
      </c>
      <c r="F52" s="1">
        <v>38.786499999999997</v>
      </c>
      <c r="G52" s="1">
        <v>15.8025</v>
      </c>
      <c r="H52" s="1">
        <v>31.068100000000001</v>
      </c>
      <c r="I52" s="1">
        <v>84.7333</v>
      </c>
      <c r="J52" s="1">
        <f t="shared" si="1"/>
        <v>77.876690199999999</v>
      </c>
      <c r="K52" s="1">
        <v>4.9138399999999933</v>
      </c>
      <c r="L52" s="1">
        <f t="shared" si="2"/>
        <v>136.68615044943817</v>
      </c>
      <c r="M52" s="1">
        <v>-246.05856</v>
      </c>
      <c r="N52" s="1">
        <v>-31.371549999999999</v>
      </c>
    </row>
    <row r="53" spans="1:14" x14ac:dyDescent="0.4">
      <c r="B53" s="1">
        <v>2.65</v>
      </c>
      <c r="C53" s="1" t="s">
        <v>63</v>
      </c>
      <c r="D53" s="3">
        <f t="shared" si="5"/>
        <v>2002.1428595</v>
      </c>
      <c r="E53" s="1">
        <v>67.261300000000006</v>
      </c>
      <c r="F53" s="1">
        <v>117.66370000000001</v>
      </c>
      <c r="G53" s="1">
        <v>12.845700000000001</v>
      </c>
      <c r="H53" s="1">
        <v>42.390599999999999</v>
      </c>
      <c r="I53" s="1">
        <v>109.8959</v>
      </c>
      <c r="J53" s="1">
        <f t="shared" si="1"/>
        <v>107.3399706</v>
      </c>
      <c r="K53" s="1">
        <v>3.8798500000000047</v>
      </c>
      <c r="L53" s="1">
        <f t="shared" si="2"/>
        <v>6.9579457303370873</v>
      </c>
      <c r="M53" s="1">
        <v>-247.54727</v>
      </c>
      <c r="N53" s="1">
        <v>-31.42839</v>
      </c>
    </row>
    <row r="54" spans="1:14" x14ac:dyDescent="0.4">
      <c r="B54" s="1">
        <v>2.7</v>
      </c>
      <c r="C54" s="1" t="s">
        <v>64</v>
      </c>
      <c r="D54" s="3">
        <f t="shared" si="5"/>
        <v>2002.0714310000001</v>
      </c>
      <c r="E54" s="1">
        <v>83.953699999999998</v>
      </c>
      <c r="F54" s="1">
        <v>37.926400000000001</v>
      </c>
      <c r="G54" s="1">
        <v>11.037699999999999</v>
      </c>
      <c r="H54" s="1">
        <v>16.282299999999999</v>
      </c>
      <c r="I54" s="1">
        <v>47.619399999999999</v>
      </c>
      <c r="J54" s="1">
        <f t="shared" si="1"/>
        <v>44.429159399999996</v>
      </c>
      <c r="K54" s="1">
        <v>4.6485500000000002</v>
      </c>
      <c r="L54" s="1">
        <f t="shared" si="2"/>
        <v>58.993498089887638</v>
      </c>
      <c r="M54" s="1">
        <v>-249.47225</v>
      </c>
      <c r="N54" s="1">
        <v>-31.7651</v>
      </c>
    </row>
    <row r="55" spans="1:14" x14ac:dyDescent="0.4">
      <c r="A55" s="1">
        <v>2002</v>
      </c>
      <c r="B55" s="1">
        <v>2.75</v>
      </c>
      <c r="C55" s="1" t="s">
        <v>65</v>
      </c>
      <c r="D55" s="3">
        <f>-1.25*B55+2005.4375</f>
        <v>2002</v>
      </c>
      <c r="E55" s="1">
        <v>117.4127</v>
      </c>
      <c r="F55" s="1">
        <v>23.516100000000002</v>
      </c>
      <c r="G55" s="1">
        <v>42.927999999999997</v>
      </c>
      <c r="H55" s="1">
        <v>32.836500000000001</v>
      </c>
      <c r="I55" s="1">
        <v>101.8921</v>
      </c>
      <c r="J55" s="1">
        <f t="shared" si="1"/>
        <v>97.430417399999996</v>
      </c>
      <c r="K55" s="1">
        <v>3.4362699999999791</v>
      </c>
      <c r="L55" s="1">
        <f t="shared" si="2"/>
        <v>62.676510449438204</v>
      </c>
      <c r="M55" s="1">
        <v>-243.38165000000001</v>
      </c>
      <c r="N55" s="1">
        <v>-30.852239999999998</v>
      </c>
    </row>
    <row r="56" spans="1:14" x14ac:dyDescent="0.4">
      <c r="B56" s="1">
        <v>2.8</v>
      </c>
      <c r="C56" s="1" t="s">
        <v>66</v>
      </c>
      <c r="D56" s="3">
        <f t="shared" ref="D56:D69" si="6">-1.25*B56+2005.4375</f>
        <v>2001.9375</v>
      </c>
      <c r="E56" s="1">
        <v>150.22110000000001</v>
      </c>
      <c r="F56" s="1">
        <v>8.2954000000000008</v>
      </c>
      <c r="G56" s="1">
        <v>9.9021000000000008</v>
      </c>
      <c r="H56" s="1">
        <v>25.2195</v>
      </c>
      <c r="I56" s="1">
        <v>44.163400000000003</v>
      </c>
      <c r="J56" s="1">
        <f t="shared" si="1"/>
        <v>38.454998200000006</v>
      </c>
      <c r="K56" s="1">
        <v>4.9925599999999974</v>
      </c>
      <c r="L56" s="1">
        <f t="shared" si="2"/>
        <v>128.61716842696629</v>
      </c>
      <c r="M56" s="1">
        <v>-217.37631999999999</v>
      </c>
      <c r="N56" s="1">
        <v>-27.796109999999999</v>
      </c>
    </row>
    <row r="57" spans="1:14" x14ac:dyDescent="0.4">
      <c r="B57" s="1">
        <v>2.85</v>
      </c>
      <c r="C57" s="1" t="s">
        <v>67</v>
      </c>
      <c r="D57" s="3">
        <f t="shared" si="6"/>
        <v>2001.875</v>
      </c>
      <c r="E57" s="1">
        <v>120.6374</v>
      </c>
      <c r="F57" s="1">
        <v>8.0977999999999994</v>
      </c>
      <c r="G57" s="1">
        <v>26.7316</v>
      </c>
      <c r="H57" s="1">
        <v>43.296700000000001</v>
      </c>
      <c r="I57" s="1">
        <v>109.8657</v>
      </c>
      <c r="J57" s="1">
        <f t="shared" si="1"/>
        <v>105.2814788</v>
      </c>
      <c r="K57" s="1">
        <v>4.7172599999999818</v>
      </c>
      <c r="L57" s="1">
        <f t="shared" si="2"/>
        <v>61.490501797752806</v>
      </c>
      <c r="M57" s="1">
        <v>-215.50978000000001</v>
      </c>
      <c r="N57" s="1">
        <v>-27.528379999999999</v>
      </c>
    </row>
    <row r="58" spans="1:14" x14ac:dyDescent="0.4">
      <c r="B58" s="1">
        <v>2.9</v>
      </c>
      <c r="C58" s="1" t="s">
        <v>68</v>
      </c>
      <c r="D58" s="3">
        <f t="shared" si="6"/>
        <v>2001.8125</v>
      </c>
      <c r="E58" s="1">
        <v>190.4862</v>
      </c>
      <c r="F58" s="1">
        <v>22.636299999999999</v>
      </c>
      <c r="G58" s="1">
        <v>79.296800000000005</v>
      </c>
      <c r="H58" s="1">
        <v>23.761500000000002</v>
      </c>
      <c r="I58" s="1">
        <v>91.185199999999995</v>
      </c>
      <c r="J58" s="1">
        <f t="shared" si="1"/>
        <v>83.946724399999994</v>
      </c>
      <c r="K58" s="1">
        <v>4.9712500000000004</v>
      </c>
      <c r="L58" s="1">
        <f t="shared" si="2"/>
        <v>143.3251188764045</v>
      </c>
      <c r="M58" s="1">
        <v>-220.69443000000001</v>
      </c>
      <c r="N58" s="1">
        <v>-28.208210000000001</v>
      </c>
    </row>
    <row r="59" spans="1:14" x14ac:dyDescent="0.4">
      <c r="B59" s="1">
        <v>2.95</v>
      </c>
      <c r="C59" s="1" t="s">
        <v>69</v>
      </c>
      <c r="D59" s="3">
        <f t="shared" si="6"/>
        <v>2001.75</v>
      </c>
      <c r="E59" s="1">
        <v>125.00960000000001</v>
      </c>
      <c r="F59" s="1">
        <v>17.044499999999999</v>
      </c>
      <c r="G59" s="1">
        <v>47.480400000000003</v>
      </c>
      <c r="H59" s="1">
        <v>30.579699999999999</v>
      </c>
      <c r="I59" s="1">
        <v>80.372100000000003</v>
      </c>
      <c r="J59" s="1">
        <f t="shared" si="1"/>
        <v>75.621735200000003</v>
      </c>
      <c r="K59" s="1">
        <v>4.5011399999999924</v>
      </c>
      <c r="L59" s="1">
        <f t="shared" si="2"/>
        <v>82.525479101123608</v>
      </c>
      <c r="M59" s="1">
        <v>-231.25806</v>
      </c>
      <c r="N59" s="1">
        <v>-29.469899999999999</v>
      </c>
    </row>
    <row r="60" spans="1:14" x14ac:dyDescent="0.4">
      <c r="B60" s="1">
        <v>3</v>
      </c>
      <c r="C60" s="1" t="s">
        <v>70</v>
      </c>
      <c r="D60" s="3">
        <f t="shared" si="6"/>
        <v>2001.6875</v>
      </c>
      <c r="E60" s="1">
        <v>142.83959999999999</v>
      </c>
      <c r="F60" s="1">
        <v>40.027700000000003</v>
      </c>
      <c r="G60" s="1">
        <v>41.174500000000002</v>
      </c>
      <c r="H60" s="1">
        <v>16.760000000000002</v>
      </c>
      <c r="I60" s="1">
        <v>58.649700000000003</v>
      </c>
      <c r="J60" s="1">
        <f t="shared" si="1"/>
        <v>53.221795200000003</v>
      </c>
      <c r="K60" s="1">
        <v>2.6269900000000064</v>
      </c>
      <c r="L60" s="1">
        <f t="shared" si="2"/>
        <v>112.93971505617976</v>
      </c>
      <c r="M60" s="1">
        <v>-234.29621</v>
      </c>
      <c r="N60" s="1">
        <v>-29.615400000000001</v>
      </c>
    </row>
    <row r="61" spans="1:14" x14ac:dyDescent="0.4">
      <c r="B61" s="1">
        <v>3.05</v>
      </c>
      <c r="C61" s="1" t="s">
        <v>71</v>
      </c>
      <c r="D61" s="3">
        <f t="shared" si="6"/>
        <v>2001.625</v>
      </c>
      <c r="E61" s="1">
        <v>108.90309999999999</v>
      </c>
      <c r="F61" s="1">
        <v>26.3874</v>
      </c>
      <c r="G61" s="1">
        <v>65.498199999999997</v>
      </c>
      <c r="H61" s="1">
        <v>20.840800000000002</v>
      </c>
      <c r="I61" s="1">
        <v>103.9438</v>
      </c>
      <c r="J61" s="1">
        <f t="shared" si="1"/>
        <v>99.8054822</v>
      </c>
      <c r="K61" s="1">
        <v>3.7423200000000065</v>
      </c>
      <c r="L61" s="1">
        <f t="shared" si="2"/>
        <v>52.832604382022467</v>
      </c>
      <c r="M61" s="1">
        <v>-238.44288</v>
      </c>
      <c r="N61" s="1">
        <v>-30.273150000000001</v>
      </c>
    </row>
    <row r="62" spans="1:14" x14ac:dyDescent="0.4">
      <c r="B62" s="1">
        <v>3.1</v>
      </c>
      <c r="C62" s="1" t="s">
        <v>72</v>
      </c>
      <c r="D62" s="3">
        <f t="shared" si="6"/>
        <v>2001.5625</v>
      </c>
      <c r="E62" s="1">
        <v>47.319099999999999</v>
      </c>
      <c r="F62" s="1">
        <v>36.194499999999998</v>
      </c>
      <c r="G62" s="1">
        <v>6.5284000000000004</v>
      </c>
      <c r="H62" s="1">
        <v>9.8438999999999997</v>
      </c>
      <c r="I62" s="1">
        <v>75.781000000000006</v>
      </c>
      <c r="J62" s="1">
        <f t="shared" si="1"/>
        <v>73.982874200000012</v>
      </c>
      <c r="K62" s="1">
        <v>-1.3394600000000025</v>
      </c>
      <c r="L62" s="1">
        <f t="shared" si="2"/>
        <v>5.7556875280898794</v>
      </c>
      <c r="M62" s="1">
        <v>-244.30658</v>
      </c>
      <c r="N62" s="1">
        <v>-30.370889999999999</v>
      </c>
    </row>
    <row r="63" spans="1:14" x14ac:dyDescent="0.4">
      <c r="B63" s="1">
        <v>3.2</v>
      </c>
      <c r="C63" s="1" t="s">
        <v>73</v>
      </c>
      <c r="D63" s="3">
        <f t="shared" si="6"/>
        <v>2001.4375</v>
      </c>
      <c r="E63" s="1">
        <v>22.7882</v>
      </c>
      <c r="F63" s="1">
        <v>10.5329</v>
      </c>
      <c r="G63" s="1">
        <v>3.3184</v>
      </c>
      <c r="H63" s="1">
        <v>4.7746000000000004</v>
      </c>
      <c r="I63" s="1">
        <v>27.127300000000002</v>
      </c>
      <c r="J63" s="1">
        <f t="shared" si="1"/>
        <v>26.261348400000003</v>
      </c>
      <c r="K63" s="1">
        <v>3.661280000000005</v>
      </c>
      <c r="L63" s="1">
        <f t="shared" si="2"/>
        <v>8.0346334831460666</v>
      </c>
      <c r="M63" s="1">
        <v>-245.38847999999999</v>
      </c>
      <c r="N63" s="1">
        <v>-31.131219999999999</v>
      </c>
    </row>
    <row r="64" spans="1:14" x14ac:dyDescent="0.4">
      <c r="B64" s="1">
        <v>3.25</v>
      </c>
      <c r="C64" s="1" t="s">
        <v>74</v>
      </c>
      <c r="D64" s="3">
        <f t="shared" si="6"/>
        <v>2001.375</v>
      </c>
      <c r="E64" s="1">
        <v>65.786600000000007</v>
      </c>
      <c r="F64" s="1">
        <v>8.8003</v>
      </c>
      <c r="G64" s="1">
        <v>6.367</v>
      </c>
      <c r="H64" s="1">
        <v>29.911899999999999</v>
      </c>
      <c r="I64" s="1">
        <v>88.584599999999995</v>
      </c>
      <c r="J64" s="1">
        <f t="shared" si="1"/>
        <v>86.084709199999992</v>
      </c>
      <c r="K64" s="1">
        <v>5.3886400000000094</v>
      </c>
      <c r="L64" s="1">
        <f t="shared" si="2"/>
        <v>17.424403820224732</v>
      </c>
      <c r="M64" s="1">
        <v>-254.28888000000001</v>
      </c>
      <c r="N64" s="1">
        <v>-32.459690000000002</v>
      </c>
    </row>
    <row r="65" spans="1:14" x14ac:dyDescent="0.4">
      <c r="B65" s="1">
        <v>3.3</v>
      </c>
      <c r="C65" s="1" t="s">
        <v>75</v>
      </c>
      <c r="D65" s="3">
        <f t="shared" si="6"/>
        <v>2001.3125</v>
      </c>
      <c r="E65" s="1">
        <v>211.12389999999999</v>
      </c>
      <c r="F65" s="1">
        <v>62.135800000000003</v>
      </c>
      <c r="G65" s="1">
        <v>15.3809</v>
      </c>
      <c r="H65" s="1">
        <v>31.482299999999999</v>
      </c>
      <c r="I65" s="1">
        <v>42.400700000000001</v>
      </c>
      <c r="J65" s="1">
        <f t="shared" si="1"/>
        <v>34.377991800000004</v>
      </c>
      <c r="K65" s="1">
        <v>7.4980300000000284</v>
      </c>
      <c r="L65" s="1">
        <f t="shared" si="2"/>
        <v>191.81042146067415</v>
      </c>
      <c r="M65" s="1">
        <v>-264.96868999999998</v>
      </c>
      <c r="N65" s="1">
        <v>-34.058340000000001</v>
      </c>
    </row>
    <row r="66" spans="1:14" x14ac:dyDescent="0.4">
      <c r="B66" s="1">
        <v>3.35</v>
      </c>
      <c r="C66" s="1" t="s">
        <v>76</v>
      </c>
      <c r="D66" s="3">
        <f t="shared" si="6"/>
        <v>2001.25</v>
      </c>
      <c r="E66" s="1">
        <v>228.18039999999999</v>
      </c>
      <c r="F66" s="1">
        <v>18.229700000000001</v>
      </c>
      <c r="G66" s="1">
        <v>34.372500000000002</v>
      </c>
      <c r="H66" s="1">
        <v>45.82</v>
      </c>
      <c r="I66" s="1">
        <v>102.55800000000001</v>
      </c>
      <c r="J66" s="1">
        <f t="shared" si="1"/>
        <v>93.887144800000002</v>
      </c>
      <c r="K66" s="1">
        <v>5.9557699999999727</v>
      </c>
      <c r="L66" s="1">
        <f t="shared" si="2"/>
        <v>175.43481303370785</v>
      </c>
      <c r="M66" s="1">
        <v>-272.74295000000001</v>
      </c>
      <c r="N66" s="1">
        <v>-34.837339999999998</v>
      </c>
    </row>
    <row r="67" spans="1:14" x14ac:dyDescent="0.4">
      <c r="B67" s="1">
        <v>3.4</v>
      </c>
      <c r="C67" s="1" t="s">
        <v>77</v>
      </c>
      <c r="D67" s="3">
        <f t="shared" si="6"/>
        <v>2001.1875</v>
      </c>
      <c r="E67" s="1">
        <v>349.69150000000002</v>
      </c>
      <c r="F67" s="1">
        <v>15.5382</v>
      </c>
      <c r="G67" s="1">
        <v>30.567499999999999</v>
      </c>
      <c r="H67" s="1">
        <v>54.880499999999998</v>
      </c>
      <c r="I67" s="1">
        <v>116.21720000000001</v>
      </c>
      <c r="J67" s="1">
        <f t="shared" ref="J67:J130" si="7">I67-0.038*E67</f>
        <v>102.928923</v>
      </c>
      <c r="K67" s="1">
        <v>5.3090200000000323</v>
      </c>
      <c r="L67" s="1">
        <f t="shared" ref="L67:L130" si="8">E67-(J67/1.78)</f>
        <v>291.8662623595506</v>
      </c>
      <c r="M67" s="1">
        <v>-271.88553999999999</v>
      </c>
      <c r="N67" s="1">
        <v>-34.649320000000003</v>
      </c>
    </row>
    <row r="68" spans="1:14" x14ac:dyDescent="0.4">
      <c r="B68" s="1">
        <v>3.45</v>
      </c>
      <c r="C68" s="1" t="s">
        <v>78</v>
      </c>
      <c r="D68" s="3">
        <f t="shared" si="6"/>
        <v>2001.125</v>
      </c>
      <c r="E68" s="1">
        <v>216.85380000000001</v>
      </c>
      <c r="F68" s="1">
        <v>32.674799999999998</v>
      </c>
      <c r="G68" s="1">
        <v>35.008000000000003</v>
      </c>
      <c r="H68" s="1">
        <v>57.0871</v>
      </c>
      <c r="I68" s="1">
        <v>86.029700000000005</v>
      </c>
      <c r="J68" s="1">
        <f t="shared" si="7"/>
        <v>77.789255600000004</v>
      </c>
      <c r="K68" s="1">
        <v>4.2903699999999958</v>
      </c>
      <c r="L68" s="1">
        <f t="shared" si="8"/>
        <v>173.15197101123596</v>
      </c>
      <c r="M68" s="1">
        <v>-274.87090999999998</v>
      </c>
      <c r="N68" s="1">
        <v>-34.895159999999997</v>
      </c>
    </row>
    <row r="69" spans="1:14" x14ac:dyDescent="0.4">
      <c r="B69" s="1">
        <v>3.5</v>
      </c>
      <c r="C69" s="1" t="s">
        <v>79</v>
      </c>
      <c r="D69" s="3">
        <f t="shared" si="6"/>
        <v>2001.0625</v>
      </c>
      <c r="E69" s="1">
        <v>453.51119999999997</v>
      </c>
      <c r="F69" s="1">
        <v>22.814900000000002</v>
      </c>
      <c r="G69" s="1">
        <v>136.2919</v>
      </c>
      <c r="H69" s="1">
        <v>45.1721</v>
      </c>
      <c r="I69" s="1">
        <v>139.43969999999999</v>
      </c>
      <c r="J69" s="1">
        <f t="shared" si="7"/>
        <v>122.20627439999998</v>
      </c>
      <c r="K69" s="1">
        <v>4.779609999999991</v>
      </c>
      <c r="L69" s="1">
        <f t="shared" si="8"/>
        <v>384.85598966292133</v>
      </c>
      <c r="M69" s="1">
        <v>-274.94623000000001</v>
      </c>
      <c r="N69" s="1">
        <v>-34.965730000000001</v>
      </c>
    </row>
    <row r="70" spans="1:14" x14ac:dyDescent="0.4">
      <c r="A70" s="1">
        <v>2001</v>
      </c>
      <c r="B70" s="1">
        <v>3.55</v>
      </c>
      <c r="C70" s="1" t="s">
        <v>80</v>
      </c>
      <c r="D70" s="3">
        <f>-0.95238*B70+2004.38095</f>
        <v>2001.0000009999999</v>
      </c>
      <c r="E70" s="1">
        <v>93.026899999999998</v>
      </c>
      <c r="F70" s="1">
        <v>15.876200000000001</v>
      </c>
      <c r="G70" s="1">
        <v>6.1239999999999997</v>
      </c>
      <c r="H70" s="1">
        <v>24.8627</v>
      </c>
      <c r="I70" s="1">
        <v>130.60509999999999</v>
      </c>
      <c r="J70" s="1">
        <f t="shared" si="7"/>
        <v>127.07007779999999</v>
      </c>
      <c r="K70" s="1">
        <v>4.6960600000000454</v>
      </c>
      <c r="L70" s="1">
        <f t="shared" si="8"/>
        <v>21.639215842696629</v>
      </c>
      <c r="M70" s="1">
        <v>-266.56385999999998</v>
      </c>
      <c r="N70" s="1">
        <v>-33.907490000000003</v>
      </c>
    </row>
    <row r="71" spans="1:14" x14ac:dyDescent="0.4">
      <c r="B71" s="1">
        <v>3.6</v>
      </c>
      <c r="C71" s="1" t="s">
        <v>81</v>
      </c>
      <c r="D71" s="3">
        <f t="shared" ref="D71:D90" si="9">-0.95238*B71+2004.38095</f>
        <v>2000.9523819999999</v>
      </c>
      <c r="E71" s="1">
        <v>142.86490000000001</v>
      </c>
      <c r="F71" s="1">
        <v>34.441800000000001</v>
      </c>
      <c r="G71" s="1">
        <v>15.5166</v>
      </c>
      <c r="H71" s="1">
        <v>18.487400000000001</v>
      </c>
      <c r="I71" s="1">
        <v>73.789500000000004</v>
      </c>
      <c r="J71" s="1">
        <f t="shared" si="7"/>
        <v>68.360633800000002</v>
      </c>
      <c r="K71" s="1">
        <v>6.1103299999999763</v>
      </c>
      <c r="L71" s="1">
        <f t="shared" si="8"/>
        <v>104.46004955056181</v>
      </c>
      <c r="M71" s="1">
        <v>-247.30439000000001</v>
      </c>
      <c r="N71" s="1">
        <v>-31.676839999999999</v>
      </c>
    </row>
    <row r="72" spans="1:14" x14ac:dyDescent="0.4">
      <c r="B72" s="1">
        <v>3.65</v>
      </c>
      <c r="C72" s="1" t="s">
        <v>82</v>
      </c>
      <c r="D72" s="3">
        <f t="shared" si="9"/>
        <v>2000.904763</v>
      </c>
      <c r="E72" s="1">
        <v>12.670199999999999</v>
      </c>
      <c r="F72" s="1">
        <v>17.710100000000001</v>
      </c>
      <c r="G72" s="1">
        <v>4.6092000000000004</v>
      </c>
      <c r="H72" s="1">
        <v>17.070399999999999</v>
      </c>
      <c r="I72" s="1">
        <v>88.970799999999997</v>
      </c>
      <c r="J72" s="1">
        <f t="shared" si="7"/>
        <v>88.489332399999995</v>
      </c>
      <c r="K72" s="1">
        <v>8.1738300000000095</v>
      </c>
      <c r="L72" s="1">
        <f t="shared" si="8"/>
        <v>-37.042908089887632</v>
      </c>
      <c r="M72" s="1">
        <v>-232.85536999999999</v>
      </c>
      <c r="N72" s="1">
        <v>-30.12865</v>
      </c>
    </row>
    <row r="73" spans="1:14" x14ac:dyDescent="0.4">
      <c r="B73" s="1">
        <v>3.7</v>
      </c>
      <c r="C73" s="1" t="s">
        <v>83</v>
      </c>
      <c r="D73" s="3">
        <f t="shared" si="9"/>
        <v>2000.8571440000001</v>
      </c>
      <c r="E73" s="1">
        <v>44.9435</v>
      </c>
      <c r="F73" s="1">
        <v>23.2928</v>
      </c>
      <c r="G73" s="1">
        <v>23.0322</v>
      </c>
      <c r="H73" s="1">
        <v>8.0145999999999997</v>
      </c>
      <c r="I73" s="1">
        <v>52.858600000000003</v>
      </c>
      <c r="J73" s="1">
        <f t="shared" si="7"/>
        <v>51.150747000000003</v>
      </c>
      <c r="K73" s="1">
        <v>6.8762099999999862</v>
      </c>
      <c r="L73" s="1">
        <f t="shared" si="8"/>
        <v>16.207125280898875</v>
      </c>
      <c r="M73" s="1">
        <v>-229.72995</v>
      </c>
      <c r="N73" s="1">
        <v>-29.575769999999999</v>
      </c>
    </row>
    <row r="74" spans="1:14" x14ac:dyDescent="0.4">
      <c r="B74" s="1">
        <v>3.75</v>
      </c>
      <c r="C74" s="1" t="s">
        <v>84</v>
      </c>
      <c r="D74" s="3">
        <f t="shared" si="9"/>
        <v>2000.8095249999999</v>
      </c>
      <c r="E74" s="1">
        <v>20.771000000000001</v>
      </c>
      <c r="F74" s="1">
        <v>21.192599999999999</v>
      </c>
      <c r="G74" s="1">
        <v>2.7528000000000001</v>
      </c>
      <c r="H74" s="1">
        <v>13.179</v>
      </c>
      <c r="I74" s="1">
        <v>51.0471</v>
      </c>
      <c r="J74" s="1">
        <f t="shared" si="7"/>
        <v>50.257801999999998</v>
      </c>
      <c r="K74" s="1">
        <v>7.5216299999999876</v>
      </c>
      <c r="L74" s="1">
        <f t="shared" si="8"/>
        <v>-7.4637202247191006</v>
      </c>
      <c r="M74" s="1">
        <v>-237.50997000000001</v>
      </c>
      <c r="N74" s="1">
        <v>-30.62895</v>
      </c>
    </row>
    <row r="75" spans="1:14" x14ac:dyDescent="0.4">
      <c r="B75" s="1">
        <v>3.8</v>
      </c>
      <c r="C75" s="1" t="s">
        <v>85</v>
      </c>
      <c r="D75" s="3">
        <f t="shared" si="9"/>
        <v>2000.761906</v>
      </c>
      <c r="E75" s="1">
        <v>58.685000000000002</v>
      </c>
      <c r="F75" s="1">
        <v>20.061900000000001</v>
      </c>
      <c r="G75" s="1">
        <v>6.1787000000000001</v>
      </c>
      <c r="H75" s="1">
        <v>16.546399999999998</v>
      </c>
      <c r="I75" s="1">
        <v>43.679699999999997</v>
      </c>
      <c r="J75" s="1">
        <f t="shared" si="7"/>
        <v>41.449669999999998</v>
      </c>
      <c r="K75" s="1">
        <v>5.6428099999999972</v>
      </c>
      <c r="L75" s="1">
        <f t="shared" si="8"/>
        <v>35.398668539325847</v>
      </c>
      <c r="M75" s="1">
        <v>-244.03998999999999</v>
      </c>
      <c r="N75" s="1">
        <v>-31.210349999999998</v>
      </c>
    </row>
    <row r="76" spans="1:14" x14ac:dyDescent="0.4">
      <c r="B76" s="1">
        <v>3.85</v>
      </c>
      <c r="C76" s="1" t="s">
        <v>86</v>
      </c>
      <c r="D76" s="3">
        <f t="shared" si="9"/>
        <v>2000.714287</v>
      </c>
      <c r="E76" s="1">
        <v>340.79399999999998</v>
      </c>
      <c r="F76" s="1">
        <v>17.666399999999999</v>
      </c>
      <c r="G76" s="1">
        <v>74.192499999999995</v>
      </c>
      <c r="H76" s="1">
        <v>72.5471</v>
      </c>
      <c r="I76" s="1">
        <v>145.8126</v>
      </c>
      <c r="J76" s="1">
        <f t="shared" si="7"/>
        <v>132.86242799999999</v>
      </c>
      <c r="K76" s="1">
        <v>5.2113200000000006</v>
      </c>
      <c r="L76" s="1">
        <f t="shared" si="8"/>
        <v>266.15218651685393</v>
      </c>
      <c r="M76" s="1">
        <v>-246.61492000000001</v>
      </c>
      <c r="N76" s="1">
        <v>-31.478280000000002</v>
      </c>
    </row>
    <row r="77" spans="1:14" x14ac:dyDescent="0.4">
      <c r="B77" s="1">
        <v>3.9</v>
      </c>
      <c r="C77" s="1" t="s">
        <v>87</v>
      </c>
      <c r="D77" s="3">
        <f t="shared" si="9"/>
        <v>2000.6666680000001</v>
      </c>
      <c r="E77" s="1">
        <v>185.114</v>
      </c>
      <c r="F77" s="1">
        <v>37.080800000000004</v>
      </c>
      <c r="G77" s="1">
        <v>59.048999999999999</v>
      </c>
      <c r="H77" s="1">
        <v>36.957799999999999</v>
      </c>
      <c r="I77" s="1">
        <v>108.3275</v>
      </c>
      <c r="J77" s="1">
        <f t="shared" si="7"/>
        <v>101.29316799999999</v>
      </c>
      <c r="K77" s="1">
        <v>5.221919999999983</v>
      </c>
      <c r="L77" s="1">
        <f t="shared" si="8"/>
        <v>128.20772584269665</v>
      </c>
      <c r="M77" s="1">
        <v>-250.23936</v>
      </c>
      <c r="N77" s="1">
        <v>-31.932659999999998</v>
      </c>
    </row>
    <row r="78" spans="1:14" x14ac:dyDescent="0.4">
      <c r="B78" s="1">
        <v>3.95</v>
      </c>
      <c r="C78" s="1" t="s">
        <v>88</v>
      </c>
      <c r="D78" s="3">
        <f t="shared" si="9"/>
        <v>2000.6190489999999</v>
      </c>
      <c r="E78" s="1">
        <v>159.4102</v>
      </c>
      <c r="F78" s="1">
        <v>30.575700000000001</v>
      </c>
      <c r="G78" s="1">
        <v>16.0975</v>
      </c>
      <c r="H78" s="1">
        <v>56.0824</v>
      </c>
      <c r="I78" s="1">
        <v>164.55070000000001</v>
      </c>
      <c r="J78" s="1">
        <f t="shared" si="7"/>
        <v>158.4931124</v>
      </c>
      <c r="K78" s="1">
        <v>3.5298700000000167</v>
      </c>
      <c r="L78" s="1">
        <f t="shared" si="8"/>
        <v>70.369125617977531</v>
      </c>
      <c r="M78" s="1">
        <v>-256.24020999999999</v>
      </c>
      <c r="N78" s="1">
        <v>-32.471260000000001</v>
      </c>
    </row>
    <row r="79" spans="1:14" x14ac:dyDescent="0.4">
      <c r="B79" s="1">
        <v>4</v>
      </c>
      <c r="C79" s="1" t="s">
        <v>89</v>
      </c>
      <c r="D79" s="3">
        <f t="shared" si="9"/>
        <v>2000.57143</v>
      </c>
      <c r="E79" s="1">
        <v>168.22919999999999</v>
      </c>
      <c r="F79" s="1">
        <v>19.2027</v>
      </c>
      <c r="G79" s="1">
        <v>11.3483</v>
      </c>
      <c r="H79" s="1">
        <v>35.651600000000002</v>
      </c>
      <c r="I79" s="1">
        <v>68.239099999999993</v>
      </c>
      <c r="J79" s="1">
        <f t="shared" si="7"/>
        <v>61.84639039999999</v>
      </c>
      <c r="K79" s="1">
        <v>3.4377399999999909</v>
      </c>
      <c r="L79" s="1">
        <f t="shared" si="8"/>
        <v>133.48403685393259</v>
      </c>
      <c r="M79" s="1">
        <v>-249.73634000000001</v>
      </c>
      <c r="N79" s="1">
        <v>-31.64676</v>
      </c>
    </row>
    <row r="80" spans="1:14" x14ac:dyDescent="0.4">
      <c r="B80" s="1">
        <v>4.05</v>
      </c>
      <c r="C80" s="1" t="s">
        <v>90</v>
      </c>
      <c r="D80" s="3">
        <f t="shared" si="9"/>
        <v>2000.523811</v>
      </c>
      <c r="E80" s="1">
        <v>153.8664</v>
      </c>
      <c r="F80" s="1">
        <v>35.113399999999999</v>
      </c>
      <c r="G80" s="1">
        <v>9.0846999999999998</v>
      </c>
      <c r="H80" s="1">
        <v>50.893300000000004</v>
      </c>
      <c r="I80" s="1">
        <v>63.712800000000001</v>
      </c>
      <c r="J80" s="1">
        <f t="shared" si="7"/>
        <v>57.865876800000002</v>
      </c>
      <c r="K80" s="1">
        <v>4.4826199999999972</v>
      </c>
      <c r="L80" s="1">
        <f t="shared" si="8"/>
        <v>121.3574804494382</v>
      </c>
      <c r="M80" s="1">
        <v>-250.78818000000001</v>
      </c>
      <c r="N80" s="1">
        <v>-31.908850000000001</v>
      </c>
    </row>
    <row r="81" spans="1:14" x14ac:dyDescent="0.4">
      <c r="B81" s="1">
        <v>4.0999999999999996</v>
      </c>
      <c r="C81" s="1" t="s">
        <v>91</v>
      </c>
      <c r="D81" s="3">
        <f t="shared" si="9"/>
        <v>2000.4761920000001</v>
      </c>
      <c r="E81" s="1">
        <v>228.86510000000001</v>
      </c>
      <c r="F81" s="1">
        <v>42.758800000000001</v>
      </c>
      <c r="G81" s="1">
        <v>21.293800000000001</v>
      </c>
      <c r="H81" s="1">
        <v>40.8339</v>
      </c>
      <c r="I81" s="1">
        <v>56.556199999999997</v>
      </c>
      <c r="J81" s="1">
        <f t="shared" si="7"/>
        <v>47.859326199999998</v>
      </c>
      <c r="K81" s="1">
        <v>6.3049399999999878</v>
      </c>
      <c r="L81" s="1">
        <f t="shared" si="8"/>
        <v>201.97783808988765</v>
      </c>
      <c r="M81" s="1">
        <v>-260.65186</v>
      </c>
      <c r="N81" s="1">
        <v>-33.369599999999998</v>
      </c>
    </row>
    <row r="82" spans="1:14" x14ac:dyDescent="0.4">
      <c r="B82" s="1">
        <v>4.1500000000000004</v>
      </c>
      <c r="C82" s="1" t="s">
        <v>92</v>
      </c>
      <c r="D82" s="3">
        <f t="shared" si="9"/>
        <v>2000.4285729999999</v>
      </c>
      <c r="E82" s="1">
        <v>25.757999999999999</v>
      </c>
      <c r="F82" s="1">
        <v>24.654399999999999</v>
      </c>
      <c r="G82" s="1">
        <v>4.9218000000000002</v>
      </c>
      <c r="H82" s="1">
        <v>17.809699999999999</v>
      </c>
      <c r="I82" s="1">
        <v>51.426600000000001</v>
      </c>
      <c r="J82" s="1">
        <f t="shared" si="7"/>
        <v>50.447796000000004</v>
      </c>
      <c r="K82" s="1">
        <v>4.802819999999997</v>
      </c>
      <c r="L82" s="1">
        <f t="shared" si="8"/>
        <v>-2.5834584269662955</v>
      </c>
      <c r="M82" s="1">
        <v>-264.32150000000001</v>
      </c>
      <c r="N82" s="1">
        <v>-33.640540000000001</v>
      </c>
    </row>
    <row r="83" spans="1:14" x14ac:dyDescent="0.4">
      <c r="B83" s="1">
        <v>4.2</v>
      </c>
      <c r="C83" s="1" t="s">
        <v>93</v>
      </c>
      <c r="D83" s="3">
        <f t="shared" si="9"/>
        <v>2000.380954</v>
      </c>
      <c r="E83" s="1">
        <v>52.8249</v>
      </c>
      <c r="F83" s="1">
        <v>7.9128999999999996</v>
      </c>
      <c r="G83" s="1">
        <v>5.4325000000000001</v>
      </c>
      <c r="H83" s="1">
        <v>17.858000000000001</v>
      </c>
      <c r="I83" s="1">
        <v>51.935499999999998</v>
      </c>
      <c r="J83" s="1">
        <f t="shared" si="7"/>
        <v>49.928153799999997</v>
      </c>
      <c r="K83" s="1">
        <v>4.3594800000000191</v>
      </c>
      <c r="L83" s="1">
        <f t="shared" si="8"/>
        <v>24.775375393258429</v>
      </c>
      <c r="M83" s="1">
        <v>-262.72811999999999</v>
      </c>
      <c r="N83" s="1">
        <v>-33.385950000000001</v>
      </c>
    </row>
    <row r="84" spans="1:14" x14ac:dyDescent="0.4">
      <c r="B84" s="1">
        <v>4.25</v>
      </c>
      <c r="C84" s="1" t="s">
        <v>94</v>
      </c>
      <c r="D84" s="3">
        <f t="shared" si="9"/>
        <v>2000.333335</v>
      </c>
      <c r="E84" s="1">
        <v>229.1816</v>
      </c>
      <c r="F84" s="1">
        <v>36.226799999999997</v>
      </c>
      <c r="G84" s="1">
        <v>234.95910000000001</v>
      </c>
      <c r="H84" s="1">
        <v>30.2925</v>
      </c>
      <c r="I84" s="1">
        <v>157.3862</v>
      </c>
      <c r="J84" s="1">
        <f t="shared" si="7"/>
        <v>148.67729919999999</v>
      </c>
      <c r="K84" s="1">
        <v>2.8067099999999527</v>
      </c>
      <c r="L84" s="1">
        <f t="shared" si="8"/>
        <v>145.65502741573033</v>
      </c>
      <c r="M84" s="1">
        <v>-264.95521000000002</v>
      </c>
      <c r="N84" s="1">
        <v>-33.470239999999997</v>
      </c>
    </row>
    <row r="85" spans="1:14" x14ac:dyDescent="0.4">
      <c r="B85" s="1">
        <v>4.3</v>
      </c>
      <c r="C85" s="1" t="s">
        <v>95</v>
      </c>
      <c r="D85" s="3">
        <f t="shared" si="9"/>
        <v>2000.2857160000001</v>
      </c>
      <c r="E85" s="1">
        <v>61.098500000000001</v>
      </c>
      <c r="F85" s="1">
        <v>14.0017</v>
      </c>
      <c r="G85" s="1">
        <v>2.3488000000000002</v>
      </c>
      <c r="H85" s="1">
        <v>17.4953</v>
      </c>
      <c r="I85" s="1">
        <v>31.866199999999999</v>
      </c>
      <c r="J85" s="1">
        <f t="shared" si="7"/>
        <v>29.544456999999998</v>
      </c>
      <c r="K85" s="1">
        <v>3.220670000000041</v>
      </c>
      <c r="L85" s="1">
        <f t="shared" si="8"/>
        <v>44.500490449438203</v>
      </c>
      <c r="M85" s="1">
        <v>-269.16156999999998</v>
      </c>
      <c r="N85" s="1">
        <v>-34.047780000000003</v>
      </c>
    </row>
    <row r="86" spans="1:14" x14ac:dyDescent="0.4">
      <c r="B86" s="1">
        <v>4.3499999999999996</v>
      </c>
      <c r="C86" s="1" t="s">
        <v>96</v>
      </c>
      <c r="D86" s="3">
        <f t="shared" si="9"/>
        <v>2000.2380969999999</v>
      </c>
      <c r="E86" s="1">
        <v>89.727400000000003</v>
      </c>
      <c r="F86" s="1">
        <v>12.5494</v>
      </c>
      <c r="G86" s="1">
        <v>5.4246999999999996</v>
      </c>
      <c r="H86" s="1">
        <v>44.138300000000001</v>
      </c>
      <c r="I86" s="1">
        <v>109.78449999999999</v>
      </c>
      <c r="J86" s="1">
        <f t="shared" si="7"/>
        <v>106.3748588</v>
      </c>
      <c r="K86" s="1">
        <v>4.0023199999999974</v>
      </c>
      <c r="L86" s="1">
        <f t="shared" si="8"/>
        <v>29.966243370786522</v>
      </c>
      <c r="M86" s="1">
        <v>-263.72847999999999</v>
      </c>
      <c r="N86" s="1">
        <v>-33.466349999999998</v>
      </c>
    </row>
    <row r="87" spans="1:14" x14ac:dyDescent="0.4">
      <c r="B87" s="1">
        <v>4.4000000000000004</v>
      </c>
      <c r="C87" s="1" t="s">
        <v>97</v>
      </c>
      <c r="D87" s="3">
        <f t="shared" si="9"/>
        <v>2000.190478</v>
      </c>
      <c r="E87" s="1">
        <v>45.372799999999998</v>
      </c>
      <c r="F87" s="1">
        <v>9.8816000000000006</v>
      </c>
      <c r="G87" s="1">
        <v>10.9033</v>
      </c>
      <c r="H87" s="1">
        <v>15.3291</v>
      </c>
      <c r="I87" s="1">
        <v>22.2225</v>
      </c>
      <c r="J87" s="1">
        <f t="shared" si="7"/>
        <v>20.498333599999999</v>
      </c>
      <c r="K87" s="1">
        <v>5.6902699999999982</v>
      </c>
      <c r="L87" s="1">
        <f t="shared" si="8"/>
        <v>33.85688224719101</v>
      </c>
      <c r="M87" s="1">
        <v>-254.64693</v>
      </c>
      <c r="N87" s="1">
        <v>-32.542149999999999</v>
      </c>
    </row>
    <row r="88" spans="1:14" x14ac:dyDescent="0.4">
      <c r="B88" s="1">
        <v>4.45</v>
      </c>
      <c r="C88" s="1" t="s">
        <v>98</v>
      </c>
      <c r="D88" s="3">
        <f t="shared" si="9"/>
        <v>2000.142859</v>
      </c>
      <c r="E88" s="1">
        <v>32.662799999999997</v>
      </c>
      <c r="F88" s="1">
        <v>14.868499999999999</v>
      </c>
      <c r="G88" s="1">
        <v>28.193999999999999</v>
      </c>
      <c r="H88" s="1">
        <v>16.7758</v>
      </c>
      <c r="I88" s="1">
        <v>66.000299999999996</v>
      </c>
      <c r="J88" s="1">
        <f t="shared" si="7"/>
        <v>64.759113599999992</v>
      </c>
      <c r="K88" s="1">
        <v>4.3113900000000172</v>
      </c>
      <c r="L88" s="1">
        <f t="shared" si="8"/>
        <v>-3.7187244943820232</v>
      </c>
      <c r="M88" s="1">
        <v>-246.08852999999999</v>
      </c>
      <c r="N88" s="1">
        <v>-31.299990000000001</v>
      </c>
    </row>
    <row r="89" spans="1:14" x14ac:dyDescent="0.4">
      <c r="B89" s="1">
        <v>4.5</v>
      </c>
      <c r="C89" s="1" t="s">
        <v>99</v>
      </c>
      <c r="D89" s="3">
        <f t="shared" si="9"/>
        <v>2000.0952399999999</v>
      </c>
      <c r="E89" s="1">
        <v>9.6480999999999995</v>
      </c>
      <c r="F89" s="1">
        <v>26.1631</v>
      </c>
      <c r="G89" s="1">
        <v>4.8212000000000002</v>
      </c>
      <c r="H89" s="1">
        <v>13.8804</v>
      </c>
      <c r="I89" s="1">
        <v>41.204999999999998</v>
      </c>
      <c r="J89" s="1">
        <f t="shared" si="7"/>
        <v>40.838372199999995</v>
      </c>
      <c r="K89" s="1">
        <v>6.0063199999999881</v>
      </c>
      <c r="L89" s="1">
        <f t="shared" si="8"/>
        <v>-13.294805730337075</v>
      </c>
      <c r="M89" s="1">
        <v>-242.59888000000001</v>
      </c>
      <c r="N89" s="1">
        <v>-31.07565</v>
      </c>
    </row>
    <row r="90" spans="1:14" x14ac:dyDescent="0.4">
      <c r="B90" s="1">
        <v>4.55</v>
      </c>
      <c r="C90" s="1" t="s">
        <v>100</v>
      </c>
      <c r="D90" s="3">
        <f t="shared" si="9"/>
        <v>2000.0476209999999</v>
      </c>
      <c r="E90" s="1">
        <v>32.549399999999999</v>
      </c>
      <c r="F90" s="1">
        <v>7.8853999999999997</v>
      </c>
      <c r="G90" s="1">
        <v>10.833600000000001</v>
      </c>
      <c r="H90" s="1">
        <v>30.9832</v>
      </c>
      <c r="I90" s="1">
        <v>96.103999999999999</v>
      </c>
      <c r="J90" s="1">
        <f t="shared" si="7"/>
        <v>94.867122800000004</v>
      </c>
      <c r="K90" s="1">
        <v>3.7805199999999957</v>
      </c>
      <c r="L90" s="1">
        <f t="shared" si="8"/>
        <v>-20.746736404494385</v>
      </c>
      <c r="M90" s="1">
        <v>-236.20684</v>
      </c>
      <c r="N90" s="1">
        <v>-29.998419999999999</v>
      </c>
    </row>
    <row r="91" spans="1:14" x14ac:dyDescent="0.4">
      <c r="A91" s="1">
        <v>2000</v>
      </c>
      <c r="B91" s="1">
        <v>4.5999999999999996</v>
      </c>
      <c r="C91" s="1" t="s">
        <v>101</v>
      </c>
      <c r="D91" s="3">
        <f>-2*B91+2009.2</f>
        <v>2000</v>
      </c>
      <c r="E91" s="1">
        <v>12.8629</v>
      </c>
      <c r="F91" s="1">
        <v>18.7182</v>
      </c>
      <c r="G91" s="1">
        <v>2.4618000000000002</v>
      </c>
      <c r="H91" s="1">
        <v>11.7652</v>
      </c>
      <c r="I91" s="1">
        <v>35.5197</v>
      </c>
      <c r="J91" s="1">
        <f t="shared" si="7"/>
        <v>35.030909800000003</v>
      </c>
      <c r="K91" s="1">
        <v>4.4279499999999814</v>
      </c>
      <c r="L91" s="1">
        <f t="shared" si="8"/>
        <v>-6.8173864044943855</v>
      </c>
      <c r="M91" s="1">
        <v>-226.71645000000001</v>
      </c>
      <c r="N91" s="1">
        <v>-28.893049999999999</v>
      </c>
    </row>
    <row r="92" spans="1:14" x14ac:dyDescent="0.4">
      <c r="B92" s="1">
        <v>4.6500000000000004</v>
      </c>
      <c r="C92" s="1" t="s">
        <v>102</v>
      </c>
      <c r="D92" s="3">
        <f t="shared" ref="D92:D100" si="10">-2*B92+2009.2</f>
        <v>1999.9</v>
      </c>
      <c r="E92" s="1">
        <v>17.136299999999999</v>
      </c>
      <c r="F92" s="1">
        <v>9.8826000000000001</v>
      </c>
      <c r="G92" s="1">
        <v>2.6263999999999998</v>
      </c>
      <c r="H92" s="1">
        <v>28.4422</v>
      </c>
      <c r="I92" s="1">
        <v>81.844899999999996</v>
      </c>
      <c r="J92" s="1">
        <f t="shared" si="7"/>
        <v>81.193720599999992</v>
      </c>
      <c r="K92" s="1">
        <v>3.9011700000000076</v>
      </c>
      <c r="L92" s="1">
        <f t="shared" si="8"/>
        <v>-28.478149775280897</v>
      </c>
      <c r="M92" s="1">
        <v>-214.87195</v>
      </c>
      <c r="N92" s="1">
        <v>-27.346640000000001</v>
      </c>
    </row>
    <row r="93" spans="1:14" x14ac:dyDescent="0.4">
      <c r="B93" s="1">
        <v>4.7</v>
      </c>
      <c r="C93" s="1" t="s">
        <v>103</v>
      </c>
      <c r="D93" s="3">
        <f t="shared" si="10"/>
        <v>1999.8</v>
      </c>
      <c r="E93" s="1">
        <v>18.5246</v>
      </c>
      <c r="F93" s="1">
        <v>24.796099999999999</v>
      </c>
      <c r="G93" s="1">
        <v>11.1874</v>
      </c>
      <c r="H93" s="1">
        <v>12.0526</v>
      </c>
      <c r="I93" s="1">
        <v>53.326000000000001</v>
      </c>
      <c r="J93" s="1">
        <f t="shared" si="7"/>
        <v>52.622065200000002</v>
      </c>
      <c r="K93" s="1">
        <v>2.8114999999999952</v>
      </c>
      <c r="L93" s="1">
        <f t="shared" si="8"/>
        <v>-11.03835797752809</v>
      </c>
      <c r="M93" s="1">
        <v>-213.42153999999999</v>
      </c>
      <c r="N93" s="1">
        <v>-27.029129999999999</v>
      </c>
    </row>
    <row r="94" spans="1:14" x14ac:dyDescent="0.4">
      <c r="B94" s="1">
        <v>4.75</v>
      </c>
      <c r="C94" s="1" t="s">
        <v>104</v>
      </c>
      <c r="D94" s="3">
        <f t="shared" si="10"/>
        <v>1999.7</v>
      </c>
      <c r="E94" s="1">
        <v>7.1778000000000004</v>
      </c>
      <c r="F94" s="1">
        <v>22.6404</v>
      </c>
      <c r="G94" s="1">
        <v>3.7728999999999999</v>
      </c>
      <c r="H94" s="1">
        <v>17.020700000000001</v>
      </c>
      <c r="I94" s="1">
        <v>59.975700000000003</v>
      </c>
      <c r="J94" s="1">
        <f t="shared" si="7"/>
        <v>59.702943600000005</v>
      </c>
      <c r="K94" s="1">
        <v>3.1809000000000083</v>
      </c>
      <c r="L94" s="1">
        <f t="shared" si="8"/>
        <v>-26.363179550561799</v>
      </c>
      <c r="M94" s="1">
        <v>-205.40693999999999</v>
      </c>
      <c r="N94" s="1">
        <v>-26.07348</v>
      </c>
    </row>
    <row r="95" spans="1:14" x14ac:dyDescent="0.4">
      <c r="B95" s="1">
        <v>4.8</v>
      </c>
      <c r="C95" s="1" t="s">
        <v>105</v>
      </c>
      <c r="D95" s="3">
        <f t="shared" si="10"/>
        <v>1999.6000000000001</v>
      </c>
      <c r="E95" s="1">
        <v>16.084299999999999</v>
      </c>
      <c r="F95" s="1">
        <v>15.2028</v>
      </c>
      <c r="G95" s="1">
        <v>5.6977000000000002</v>
      </c>
      <c r="H95" s="1">
        <v>15.039899999999999</v>
      </c>
      <c r="I95" s="1">
        <v>57.195099999999996</v>
      </c>
      <c r="J95" s="1">
        <f t="shared" si="7"/>
        <v>56.583896599999996</v>
      </c>
      <c r="K95" s="1">
        <v>3.9942400000000191</v>
      </c>
      <c r="L95" s="1">
        <f t="shared" si="8"/>
        <v>-15.704405955056178</v>
      </c>
      <c r="M95" s="1">
        <v>-204.99487999999999</v>
      </c>
      <c r="N95" s="1">
        <v>-26.123640000000002</v>
      </c>
    </row>
    <row r="96" spans="1:14" x14ac:dyDescent="0.4">
      <c r="B96" s="1">
        <v>4.8499999999999996</v>
      </c>
      <c r="C96" s="1" t="s">
        <v>106</v>
      </c>
      <c r="D96" s="3">
        <f t="shared" si="10"/>
        <v>1999.5</v>
      </c>
      <c r="E96" s="1">
        <v>34.894199999999998</v>
      </c>
      <c r="F96" s="1">
        <v>22.581</v>
      </c>
      <c r="G96" s="1">
        <v>9.1754999999999995</v>
      </c>
      <c r="H96" s="1">
        <v>9.1518999999999995</v>
      </c>
      <c r="I96" s="1">
        <v>147.66730000000001</v>
      </c>
      <c r="J96" s="1">
        <f t="shared" si="7"/>
        <v>146.3413204</v>
      </c>
      <c r="K96" s="1">
        <v>5.3464999999999918</v>
      </c>
      <c r="L96" s="1">
        <f t="shared" si="8"/>
        <v>-47.320024943820229</v>
      </c>
      <c r="M96" s="1">
        <v>-207.07622000000001</v>
      </c>
      <c r="N96" s="1">
        <v>-26.55284</v>
      </c>
    </row>
    <row r="97" spans="1:14" x14ac:dyDescent="0.4">
      <c r="B97" s="1">
        <v>4.9000000000000004</v>
      </c>
      <c r="C97" s="1" t="s">
        <v>107</v>
      </c>
      <c r="D97" s="3">
        <f t="shared" si="10"/>
        <v>1999.4</v>
      </c>
      <c r="E97" s="1">
        <v>11.6159</v>
      </c>
      <c r="F97" s="1">
        <v>12.0464</v>
      </c>
      <c r="G97" s="1">
        <v>2.7393000000000001</v>
      </c>
      <c r="H97" s="1">
        <v>3.9645000000000001</v>
      </c>
      <c r="I97" s="1">
        <v>21.026800000000001</v>
      </c>
      <c r="J97" s="1">
        <f t="shared" si="7"/>
        <v>20.585395800000001</v>
      </c>
      <c r="K97" s="1">
        <v>4.9999700000000189</v>
      </c>
      <c r="L97" s="1">
        <f t="shared" si="8"/>
        <v>5.1070898876403703E-2</v>
      </c>
      <c r="M97" s="1">
        <v>-213.96298999999999</v>
      </c>
      <c r="N97" s="1">
        <v>-27.370370000000001</v>
      </c>
    </row>
    <row r="98" spans="1:14" x14ac:dyDescent="0.4">
      <c r="B98" s="1">
        <v>4.95</v>
      </c>
      <c r="C98" s="1" t="s">
        <v>108</v>
      </c>
      <c r="D98" s="3">
        <f t="shared" si="10"/>
        <v>1999.3</v>
      </c>
      <c r="E98" s="1">
        <v>13.645799999999999</v>
      </c>
      <c r="F98" s="1">
        <v>33.804299999999998</v>
      </c>
      <c r="G98" s="1">
        <v>9.4928000000000008</v>
      </c>
      <c r="H98" s="1">
        <v>4.7637999999999998</v>
      </c>
      <c r="I98" s="1">
        <v>48.4435</v>
      </c>
      <c r="J98" s="1">
        <f t="shared" si="7"/>
        <v>47.924959600000001</v>
      </c>
      <c r="K98" s="1">
        <v>6.3166500000000099</v>
      </c>
      <c r="L98" s="1">
        <f t="shared" si="8"/>
        <v>-13.278334606741575</v>
      </c>
      <c r="M98" s="1">
        <v>-235.23351</v>
      </c>
      <c r="N98" s="1">
        <v>-30.193770000000001</v>
      </c>
    </row>
    <row r="99" spans="1:14" x14ac:dyDescent="0.4">
      <c r="B99" s="1">
        <v>5</v>
      </c>
      <c r="C99" s="1" t="s">
        <v>109</v>
      </c>
      <c r="D99" s="3">
        <f t="shared" si="10"/>
        <v>1999.2</v>
      </c>
      <c r="E99" s="1">
        <v>71.491799999999998</v>
      </c>
      <c r="F99" s="1">
        <v>31.701000000000001</v>
      </c>
      <c r="G99" s="1">
        <v>7.8844000000000003</v>
      </c>
      <c r="H99" s="1">
        <v>14.718299999999999</v>
      </c>
      <c r="I99" s="1">
        <v>62.394799999999996</v>
      </c>
      <c r="J99" s="1">
        <f t="shared" si="7"/>
        <v>59.678111599999994</v>
      </c>
      <c r="K99" s="1">
        <v>2.3060900000000402</v>
      </c>
      <c r="L99" s="1">
        <f t="shared" si="8"/>
        <v>37.964771011235953</v>
      </c>
      <c r="M99" s="1">
        <v>-260.60462999999999</v>
      </c>
      <c r="N99" s="1">
        <v>-32.863840000000003</v>
      </c>
    </row>
    <row r="100" spans="1:14" x14ac:dyDescent="0.4">
      <c r="B100" s="1">
        <v>5.05</v>
      </c>
      <c r="C100" s="1" t="s">
        <v>110</v>
      </c>
      <c r="D100" s="3">
        <f t="shared" si="10"/>
        <v>1999.1000000000001</v>
      </c>
      <c r="E100" s="1">
        <v>100.06310000000001</v>
      </c>
      <c r="F100" s="1">
        <v>18.653500000000001</v>
      </c>
      <c r="G100" s="1">
        <v>16.838200000000001</v>
      </c>
      <c r="H100" s="1">
        <v>20.5593</v>
      </c>
      <c r="I100" s="1">
        <v>115.6947</v>
      </c>
      <c r="J100" s="1">
        <f t="shared" si="7"/>
        <v>111.8923022</v>
      </c>
      <c r="K100" s="1">
        <v>2.1588399999999979</v>
      </c>
      <c r="L100" s="1">
        <f t="shared" si="8"/>
        <v>37.202256067415732</v>
      </c>
      <c r="M100" s="1">
        <v>-264.59620000000001</v>
      </c>
      <c r="N100" s="1">
        <v>-33.344380000000001</v>
      </c>
    </row>
    <row r="101" spans="1:14" x14ac:dyDescent="0.4">
      <c r="A101" s="1">
        <v>1999</v>
      </c>
      <c r="B101" s="1">
        <v>5.0999999999999996</v>
      </c>
      <c r="C101" s="1" t="s">
        <v>111</v>
      </c>
      <c r="D101" s="3">
        <f>-1.428571*B101+2006.285714</f>
        <v>1999.0000019000001</v>
      </c>
      <c r="E101" s="1">
        <v>60.888300000000001</v>
      </c>
      <c r="F101" s="1">
        <v>25.398700000000002</v>
      </c>
      <c r="G101" s="1">
        <v>5.3282999999999996</v>
      </c>
      <c r="H101" s="1">
        <v>12.8269</v>
      </c>
      <c r="I101" s="1">
        <v>72.205699999999993</v>
      </c>
      <c r="J101" s="1">
        <f t="shared" si="7"/>
        <v>69.891944599999988</v>
      </c>
      <c r="K101" s="1">
        <v>3.5821100000000001</v>
      </c>
      <c r="L101" s="1">
        <f t="shared" si="8"/>
        <v>21.623162584269672</v>
      </c>
      <c r="M101" s="1">
        <v>-248.72045</v>
      </c>
      <c r="N101" s="1">
        <v>-31.53782</v>
      </c>
    </row>
    <row r="102" spans="1:14" x14ac:dyDescent="0.4">
      <c r="B102" s="1">
        <v>5.15</v>
      </c>
      <c r="C102" s="1" t="s">
        <v>112</v>
      </c>
      <c r="D102" s="3">
        <f t="shared" ref="D102:D114" si="11">-1.428571*B102+2006.285714</f>
        <v>1998.9285733500001</v>
      </c>
      <c r="E102" s="1">
        <v>163.29499999999999</v>
      </c>
      <c r="F102" s="1">
        <v>21.550999999999998</v>
      </c>
      <c r="G102" s="1">
        <v>174.5239</v>
      </c>
      <c r="H102" s="1">
        <v>14.6373</v>
      </c>
      <c r="I102" s="1">
        <v>108.7234</v>
      </c>
      <c r="J102" s="1">
        <f t="shared" si="7"/>
        <v>102.51819</v>
      </c>
      <c r="K102" s="1">
        <v>6.0923800000000199</v>
      </c>
      <c r="L102" s="1">
        <f t="shared" si="8"/>
        <v>105.70051123595505</v>
      </c>
      <c r="M102" s="1">
        <v>-225.26625999999999</v>
      </c>
      <c r="N102" s="1">
        <v>-28.919830000000001</v>
      </c>
    </row>
    <row r="103" spans="1:14" x14ac:dyDescent="0.4">
      <c r="B103" s="1">
        <v>5.2</v>
      </c>
      <c r="C103" s="1" t="s">
        <v>113</v>
      </c>
      <c r="D103" s="3">
        <f t="shared" si="11"/>
        <v>1998.8571448</v>
      </c>
      <c r="E103" s="1">
        <v>52.929299999999998</v>
      </c>
      <c r="F103" s="1">
        <v>11.8645</v>
      </c>
      <c r="G103" s="1">
        <v>3.7403</v>
      </c>
      <c r="H103" s="1">
        <v>11.7956</v>
      </c>
      <c r="I103" s="1">
        <v>40.545000000000002</v>
      </c>
      <c r="J103" s="1">
        <f t="shared" si="7"/>
        <v>38.533686600000003</v>
      </c>
      <c r="K103" s="1">
        <v>7.3131700000000137</v>
      </c>
      <c r="L103" s="1">
        <f t="shared" si="8"/>
        <v>31.281161460674152</v>
      </c>
      <c r="M103" s="1">
        <v>-211.88946999999999</v>
      </c>
      <c r="N103" s="1">
        <v>-27.40033</v>
      </c>
    </row>
    <row r="104" spans="1:14" x14ac:dyDescent="0.4">
      <c r="B104" s="1">
        <v>5.25</v>
      </c>
      <c r="C104" s="1" t="s">
        <v>114</v>
      </c>
      <c r="D104" s="3">
        <f t="shared" si="11"/>
        <v>1998.7857162500002</v>
      </c>
      <c r="E104" s="1">
        <v>78.033500000000004</v>
      </c>
      <c r="F104" s="1">
        <v>24.767299999999999</v>
      </c>
      <c r="G104" s="1">
        <v>30.7378</v>
      </c>
      <c r="H104" s="1">
        <v>16.068999999999999</v>
      </c>
      <c r="I104" s="1">
        <v>119.12739999999999</v>
      </c>
      <c r="J104" s="1">
        <f t="shared" si="7"/>
        <v>116.162127</v>
      </c>
      <c r="K104" s="1">
        <v>5.107200000000006</v>
      </c>
      <c r="L104" s="1">
        <f t="shared" si="8"/>
        <v>12.773878089887646</v>
      </c>
      <c r="M104" s="1">
        <v>-213.35015999999999</v>
      </c>
      <c r="N104" s="1">
        <v>-27.307169999999999</v>
      </c>
    </row>
    <row r="105" spans="1:14" x14ac:dyDescent="0.4">
      <c r="B105" s="1">
        <v>5.3</v>
      </c>
      <c r="C105" s="1" t="s">
        <v>115</v>
      </c>
      <c r="D105" s="3">
        <f t="shared" si="11"/>
        <v>1998.7142877000001</v>
      </c>
      <c r="E105" s="1">
        <v>130.16380000000001</v>
      </c>
      <c r="F105" s="1">
        <v>30.133800000000001</v>
      </c>
      <c r="G105" s="1">
        <v>65.168800000000005</v>
      </c>
      <c r="H105" s="1">
        <v>18.9129</v>
      </c>
      <c r="I105" s="1">
        <v>118.54859999999999</v>
      </c>
      <c r="J105" s="1">
        <f t="shared" si="7"/>
        <v>113.60237559999999</v>
      </c>
      <c r="K105" s="1">
        <v>4.4877700000000118</v>
      </c>
      <c r="L105" s="1">
        <f t="shared" si="8"/>
        <v>66.342240674157324</v>
      </c>
      <c r="M105" s="1">
        <v>-218.76351</v>
      </c>
      <c r="N105" s="1">
        <v>-27.906410000000001</v>
      </c>
    </row>
    <row r="106" spans="1:14" x14ac:dyDescent="0.4">
      <c r="B106" s="1">
        <v>5.35</v>
      </c>
      <c r="C106" s="1" t="s">
        <v>116</v>
      </c>
      <c r="D106" s="3">
        <f t="shared" si="11"/>
        <v>1998.64285915</v>
      </c>
      <c r="E106" s="1">
        <v>46.917200000000001</v>
      </c>
      <c r="F106" s="1">
        <v>17.8932</v>
      </c>
      <c r="G106" s="1">
        <v>8.3394999999999992</v>
      </c>
      <c r="H106" s="1">
        <v>13.143599999999999</v>
      </c>
      <c r="I106" s="1">
        <v>82.005399999999995</v>
      </c>
      <c r="J106" s="1">
        <f t="shared" si="7"/>
        <v>80.222546399999999</v>
      </c>
      <c r="K106" s="1">
        <v>2.7875399999999786</v>
      </c>
      <c r="L106" s="1">
        <f t="shared" si="8"/>
        <v>1.8483537078651722</v>
      </c>
      <c r="M106" s="1">
        <v>-228.26830000000001</v>
      </c>
      <c r="N106" s="1">
        <v>-28.881979999999999</v>
      </c>
    </row>
    <row r="107" spans="1:14" x14ac:dyDescent="0.4">
      <c r="B107" s="1">
        <v>5.4</v>
      </c>
      <c r="C107" s="1" t="s">
        <v>117</v>
      </c>
      <c r="D107" s="3">
        <f t="shared" si="11"/>
        <v>1998.5714306</v>
      </c>
      <c r="E107" s="1">
        <v>18.247</v>
      </c>
      <c r="F107" s="1">
        <v>26.051500000000001</v>
      </c>
      <c r="G107" s="1">
        <v>4.6208</v>
      </c>
      <c r="H107" s="1">
        <v>4.7008999999999999</v>
      </c>
      <c r="I107" s="1">
        <v>27.757200000000001</v>
      </c>
      <c r="J107" s="1">
        <f t="shared" si="7"/>
        <v>27.063814000000001</v>
      </c>
      <c r="K107" s="1">
        <v>4.208800000000025</v>
      </c>
      <c r="L107" s="1">
        <f t="shared" si="8"/>
        <v>3.0426101123595508</v>
      </c>
      <c r="M107" s="1">
        <v>-228.05663999999999</v>
      </c>
      <c r="N107" s="1">
        <v>-29.033180000000002</v>
      </c>
    </row>
    <row r="108" spans="1:14" x14ac:dyDescent="0.4">
      <c r="B108" s="1">
        <v>5.45</v>
      </c>
      <c r="C108" s="1" t="s">
        <v>118</v>
      </c>
      <c r="D108" s="3">
        <f t="shared" si="11"/>
        <v>1998.5000020500001</v>
      </c>
      <c r="E108" s="1">
        <v>18.672799999999999</v>
      </c>
      <c r="F108" s="1">
        <v>9.5055999999999994</v>
      </c>
      <c r="G108" s="1">
        <v>4.6044</v>
      </c>
      <c r="H108" s="1">
        <v>6.2992999999999997</v>
      </c>
      <c r="I108" s="1">
        <v>62.4681</v>
      </c>
      <c r="J108" s="1">
        <f t="shared" si="7"/>
        <v>61.7585336</v>
      </c>
      <c r="K108" s="1">
        <v>5.0003499999999974</v>
      </c>
      <c r="L108" s="1">
        <f t="shared" si="8"/>
        <v>-16.023005393258426</v>
      </c>
      <c r="M108" s="1">
        <v>-221.71316999999999</v>
      </c>
      <c r="N108" s="1">
        <v>-28.339189999999999</v>
      </c>
    </row>
    <row r="109" spans="1:14" x14ac:dyDescent="0.4">
      <c r="B109" s="1">
        <v>5.5</v>
      </c>
      <c r="C109" s="1" t="s">
        <v>119</v>
      </c>
      <c r="D109" s="3">
        <f t="shared" si="11"/>
        <v>1998.4285735000001</v>
      </c>
      <c r="E109" s="1">
        <v>28.182200000000002</v>
      </c>
      <c r="F109" s="1">
        <v>9.0477000000000007</v>
      </c>
      <c r="G109" s="1">
        <v>14.2164</v>
      </c>
      <c r="H109" s="1">
        <v>3.9857999999999998</v>
      </c>
      <c r="I109" s="1">
        <v>35.979599999999998</v>
      </c>
      <c r="J109" s="1">
        <f t="shared" si="7"/>
        <v>34.908676399999997</v>
      </c>
      <c r="K109" s="1">
        <v>6.7209300000000098</v>
      </c>
      <c r="L109" s="1">
        <f t="shared" si="8"/>
        <v>8.5705840449438249</v>
      </c>
      <c r="M109" s="1">
        <v>-222.36067</v>
      </c>
      <c r="N109" s="1">
        <v>-28.635200000000001</v>
      </c>
    </row>
    <row r="110" spans="1:14" x14ac:dyDescent="0.4">
      <c r="B110" s="1">
        <v>5.55</v>
      </c>
      <c r="C110" s="1" t="s">
        <v>120</v>
      </c>
      <c r="D110" s="3">
        <f t="shared" si="11"/>
        <v>1998.35714495</v>
      </c>
      <c r="E110" s="1">
        <v>17.702100000000002</v>
      </c>
      <c r="F110" s="1">
        <v>7.8396999999999997</v>
      </c>
      <c r="G110" s="1">
        <v>4.7925000000000004</v>
      </c>
      <c r="H110" s="1">
        <v>5.5084</v>
      </c>
      <c r="I110" s="1">
        <v>50.219499999999996</v>
      </c>
      <c r="J110" s="1">
        <f t="shared" si="7"/>
        <v>49.546820199999999</v>
      </c>
      <c r="K110" s="1">
        <v>5.9832999999999856</v>
      </c>
      <c r="L110" s="1">
        <f t="shared" si="8"/>
        <v>-10.133192247191008</v>
      </c>
      <c r="M110" s="1">
        <v>-228.27822</v>
      </c>
      <c r="N110" s="1">
        <v>-29.282689999999999</v>
      </c>
    </row>
    <row r="111" spans="1:14" x14ac:dyDescent="0.4">
      <c r="B111" s="1">
        <v>5.6</v>
      </c>
      <c r="C111" s="1" t="s">
        <v>121</v>
      </c>
      <c r="D111" s="3">
        <f t="shared" si="11"/>
        <v>1998.2857164000002</v>
      </c>
      <c r="E111" s="1">
        <v>21.543099999999999</v>
      </c>
      <c r="F111" s="1">
        <v>12.128</v>
      </c>
      <c r="G111" s="1">
        <v>7.3977000000000004</v>
      </c>
      <c r="H111" s="1">
        <v>6.6287000000000003</v>
      </c>
      <c r="I111" s="1">
        <v>33.650700000000001</v>
      </c>
      <c r="J111" s="1">
        <f t="shared" si="7"/>
        <v>32.832062200000003</v>
      </c>
      <c r="K111" s="1">
        <v>7.1479399999999771</v>
      </c>
      <c r="L111" s="1">
        <f t="shared" si="8"/>
        <v>3.0981212359550554</v>
      </c>
      <c r="M111" s="1">
        <v>-229.61294000000001</v>
      </c>
      <c r="N111" s="1">
        <v>-29.595109999999998</v>
      </c>
    </row>
    <row r="112" spans="1:14" x14ac:dyDescent="0.4">
      <c r="B112" s="1">
        <v>5.65</v>
      </c>
      <c r="C112" s="1" t="s">
        <v>122</v>
      </c>
      <c r="D112" s="3">
        <f t="shared" si="11"/>
        <v>1998.2142878500001</v>
      </c>
      <c r="E112" s="1">
        <v>194.0316</v>
      </c>
      <c r="F112" s="1">
        <v>15.067500000000001</v>
      </c>
      <c r="G112" s="1">
        <v>11.598100000000001</v>
      </c>
      <c r="H112" s="1">
        <v>34.940300000000001</v>
      </c>
      <c r="I112" s="1">
        <v>92.853700000000003</v>
      </c>
      <c r="J112" s="1">
        <f t="shared" si="7"/>
        <v>85.480499199999997</v>
      </c>
      <c r="K112" s="1">
        <v>7.5143099999999947</v>
      </c>
      <c r="L112" s="1">
        <f t="shared" si="8"/>
        <v>146.00884764044943</v>
      </c>
      <c r="M112" s="1">
        <v>-228.67561000000001</v>
      </c>
      <c r="N112" s="1">
        <v>-29.52374</v>
      </c>
    </row>
    <row r="113" spans="1:14" x14ac:dyDescent="0.4">
      <c r="B113" s="1">
        <v>5.7</v>
      </c>
      <c r="C113" s="1" t="s">
        <v>123</v>
      </c>
      <c r="D113" s="3">
        <f t="shared" si="11"/>
        <v>1998.1428593000001</v>
      </c>
      <c r="E113" s="1">
        <v>23.254100000000001</v>
      </c>
      <c r="F113" s="1">
        <v>12.074</v>
      </c>
      <c r="G113" s="1">
        <v>4.0068000000000001</v>
      </c>
      <c r="H113" s="1">
        <v>8.6509999999999998</v>
      </c>
      <c r="I113" s="1">
        <v>43.723399999999998</v>
      </c>
      <c r="J113" s="1">
        <f t="shared" si="7"/>
        <v>42.839744199999998</v>
      </c>
      <c r="K113" s="1">
        <v>5.820920000000001</v>
      </c>
      <c r="L113" s="1">
        <f t="shared" si="8"/>
        <v>-0.81317202247190679</v>
      </c>
      <c r="M113" s="1">
        <v>-228.1294</v>
      </c>
      <c r="N113" s="1">
        <v>-29.243790000000001</v>
      </c>
    </row>
    <row r="114" spans="1:14" x14ac:dyDescent="0.4">
      <c r="B114" s="1">
        <v>5.75</v>
      </c>
      <c r="C114" s="1" t="s">
        <v>124</v>
      </c>
      <c r="D114" s="3">
        <f t="shared" si="11"/>
        <v>1998.07143075</v>
      </c>
      <c r="E114" s="1">
        <v>23.386299999999999</v>
      </c>
      <c r="F114" s="1">
        <v>15.7233</v>
      </c>
      <c r="G114" s="1">
        <v>9.5170999999999992</v>
      </c>
      <c r="H114" s="1">
        <v>5.4150999999999998</v>
      </c>
      <c r="I114" s="1">
        <v>124.9222</v>
      </c>
      <c r="J114" s="1">
        <f t="shared" si="7"/>
        <v>124.0335206</v>
      </c>
      <c r="K114" s="1">
        <v>4.3920500000000118</v>
      </c>
      <c r="L114" s="1">
        <f t="shared" si="8"/>
        <v>-46.295453146067423</v>
      </c>
      <c r="M114" s="1">
        <v>-222.50506999999999</v>
      </c>
      <c r="N114" s="1">
        <v>-28.36214</v>
      </c>
    </row>
    <row r="115" spans="1:14" x14ac:dyDescent="0.4">
      <c r="A115" s="1">
        <v>1998</v>
      </c>
      <c r="B115" s="1">
        <v>5.8</v>
      </c>
      <c r="C115" s="1" t="s">
        <v>125</v>
      </c>
      <c r="D115" s="3">
        <f>-1.428571*B115+2006.285714</f>
        <v>1998.0000022000002</v>
      </c>
      <c r="E115" s="1">
        <v>14.2309</v>
      </c>
      <c r="F115" s="1">
        <v>13.7027</v>
      </c>
      <c r="G115" s="1">
        <v>6.6254999999999997</v>
      </c>
      <c r="H115" s="1">
        <v>4.1195000000000004</v>
      </c>
      <c r="I115" s="1">
        <v>67.284400000000005</v>
      </c>
      <c r="J115" s="1">
        <f t="shared" si="7"/>
        <v>66.743625800000004</v>
      </c>
      <c r="K115" s="1">
        <v>6.8526999999999987</v>
      </c>
      <c r="L115" s="1">
        <f t="shared" si="8"/>
        <v>-23.26551898876405</v>
      </c>
      <c r="M115" s="1">
        <v>-205.64930000000001</v>
      </c>
      <c r="N115" s="1">
        <v>-26.562750000000001</v>
      </c>
    </row>
    <row r="116" spans="1:14" x14ac:dyDescent="0.4">
      <c r="B116" s="1">
        <v>5.85</v>
      </c>
      <c r="C116" s="1" t="s">
        <v>126</v>
      </c>
      <c r="D116" s="3">
        <f t="shared" ref="D116:D128" si="12">-1.428571*B116+2006.285714</f>
        <v>1997.9285736500001</v>
      </c>
      <c r="E116" s="1">
        <v>71.663899999999998</v>
      </c>
      <c r="F116" s="1">
        <v>29.3353</v>
      </c>
      <c r="G116" s="1">
        <v>65.965800000000002</v>
      </c>
      <c r="H116" s="1">
        <v>8.6804000000000006</v>
      </c>
      <c r="I116" s="1">
        <v>123.1884</v>
      </c>
      <c r="J116" s="1">
        <f t="shared" si="7"/>
        <v>120.46517180000001</v>
      </c>
      <c r="K116" s="1">
        <v>8.3723400000000083</v>
      </c>
      <c r="L116" s="1">
        <f t="shared" si="8"/>
        <v>3.986837191011233</v>
      </c>
      <c r="M116" s="1">
        <v>-187.38229999999999</v>
      </c>
      <c r="N116" s="1">
        <v>-24.469329999999999</v>
      </c>
    </row>
    <row r="117" spans="1:14" x14ac:dyDescent="0.4">
      <c r="B117" s="1">
        <v>5.9</v>
      </c>
      <c r="C117" s="1" t="s">
        <v>127</v>
      </c>
      <c r="D117" s="3">
        <f t="shared" si="12"/>
        <v>1997.8571451</v>
      </c>
      <c r="E117" s="1">
        <v>18.152100000000001</v>
      </c>
      <c r="F117" s="1">
        <v>14.936199999999999</v>
      </c>
      <c r="G117" s="1">
        <v>7.1729000000000003</v>
      </c>
      <c r="H117" s="1">
        <v>3.9094000000000002</v>
      </c>
      <c r="I117" s="1">
        <v>72.822000000000003</v>
      </c>
      <c r="J117" s="1">
        <f t="shared" si="7"/>
        <v>72.132220200000006</v>
      </c>
      <c r="K117" s="1">
        <v>10.287110000000013</v>
      </c>
      <c r="L117" s="1">
        <f t="shared" si="8"/>
        <v>-22.371619213483147</v>
      </c>
      <c r="M117" s="1">
        <v>-178.48262</v>
      </c>
      <c r="N117" s="1">
        <v>-24.277480000000001</v>
      </c>
    </row>
    <row r="118" spans="1:14" x14ac:dyDescent="0.4">
      <c r="B118" s="1">
        <v>5.95</v>
      </c>
      <c r="C118" s="1" t="s">
        <v>128</v>
      </c>
      <c r="D118" s="3">
        <f t="shared" si="12"/>
        <v>1997.7857165500002</v>
      </c>
      <c r="E118" s="1">
        <v>18.131699999999999</v>
      </c>
      <c r="F118" s="1">
        <v>7.5050999999999997</v>
      </c>
      <c r="G118" s="1">
        <v>6.6623999999999999</v>
      </c>
      <c r="H118" s="1">
        <v>4.0941999999999998</v>
      </c>
      <c r="I118" s="1">
        <v>122.4235</v>
      </c>
      <c r="J118" s="1">
        <f t="shared" si="7"/>
        <v>121.7344954</v>
      </c>
      <c r="K118" s="1">
        <v>10.817329999999998</v>
      </c>
      <c r="L118" s="1">
        <f t="shared" si="8"/>
        <v>-50.258465955056181</v>
      </c>
      <c r="M118" s="1">
        <v>-201.86831000000001</v>
      </c>
      <c r="N118" s="1">
        <v>-25.926909999999999</v>
      </c>
    </row>
    <row r="119" spans="1:14" x14ac:dyDescent="0.4">
      <c r="B119" s="1">
        <v>6</v>
      </c>
      <c r="C119" s="1" t="s">
        <v>129</v>
      </c>
      <c r="D119" s="3">
        <f t="shared" si="12"/>
        <v>1997.7142880000001</v>
      </c>
      <c r="E119" s="1">
        <v>11.889900000000001</v>
      </c>
      <c r="F119" s="1">
        <v>8.1006</v>
      </c>
      <c r="G119" s="1">
        <v>4.0552999999999999</v>
      </c>
      <c r="H119" s="1">
        <v>2.4384000000000001</v>
      </c>
      <c r="I119" s="1">
        <v>72.403000000000006</v>
      </c>
      <c r="J119" s="1">
        <f t="shared" si="7"/>
        <v>71.95118380000001</v>
      </c>
      <c r="K119" s="1">
        <v>16.302570000000003</v>
      </c>
      <c r="L119" s="1">
        <f t="shared" si="8"/>
        <v>-28.532113370786522</v>
      </c>
      <c r="M119" s="1">
        <v>-230.33047999999999</v>
      </c>
      <c r="N119" s="1">
        <v>-29.317160000000001</v>
      </c>
    </row>
    <row r="120" spans="1:14" x14ac:dyDescent="0.4">
      <c r="B120" s="1">
        <v>6.05</v>
      </c>
      <c r="C120" s="1" t="s">
        <v>130</v>
      </c>
      <c r="D120" s="3">
        <f t="shared" si="12"/>
        <v>1997.6428594500001</v>
      </c>
      <c r="E120" s="1">
        <v>20.2044</v>
      </c>
      <c r="F120" s="1">
        <v>13.465400000000001</v>
      </c>
      <c r="G120" s="1">
        <v>7.4573999999999998</v>
      </c>
      <c r="H120" s="1">
        <v>3.9813999999999998</v>
      </c>
      <c r="I120" s="1">
        <v>119.428</v>
      </c>
      <c r="J120" s="1">
        <f t="shared" si="7"/>
        <v>118.6602328</v>
      </c>
      <c r="K120" s="1">
        <v>15.737220000000008</v>
      </c>
      <c r="L120" s="1">
        <f t="shared" si="8"/>
        <v>-46.458652134831461</v>
      </c>
      <c r="M120" s="1">
        <v>-252.71951999999999</v>
      </c>
      <c r="N120" s="1">
        <v>-32.075870000000002</v>
      </c>
    </row>
    <row r="121" spans="1:14" x14ac:dyDescent="0.4">
      <c r="B121" s="1">
        <v>6.1</v>
      </c>
      <c r="C121" s="1" t="s">
        <v>131</v>
      </c>
      <c r="D121" s="3">
        <f t="shared" si="12"/>
        <v>1997.5714309</v>
      </c>
      <c r="E121" s="1">
        <v>37.204900000000002</v>
      </c>
      <c r="F121" s="1">
        <v>8.8717000000000006</v>
      </c>
      <c r="G121" s="1">
        <v>4.327</v>
      </c>
      <c r="H121" s="1">
        <v>8.3938000000000006</v>
      </c>
      <c r="I121" s="1">
        <v>60.960299999999997</v>
      </c>
      <c r="J121" s="1">
        <f t="shared" si="7"/>
        <v>59.5465138</v>
      </c>
      <c r="K121" s="1">
        <v>5.5469699999999875</v>
      </c>
      <c r="L121" s="1">
        <f t="shared" si="8"/>
        <v>3.7518023595505667</v>
      </c>
      <c r="N121" s="1">
        <v>-34.051299999999998</v>
      </c>
    </row>
    <row r="122" spans="1:14" x14ac:dyDescent="0.4">
      <c r="B122" s="1">
        <v>6.15</v>
      </c>
      <c r="C122" s="1" t="s">
        <v>132</v>
      </c>
      <c r="D122" s="3">
        <f t="shared" si="12"/>
        <v>1997.5000023500002</v>
      </c>
      <c r="E122" s="1">
        <v>179.97980000000001</v>
      </c>
      <c r="F122" s="1">
        <v>17.485499999999998</v>
      </c>
      <c r="G122" s="1">
        <v>13.243</v>
      </c>
      <c r="H122" s="1">
        <v>29.6174</v>
      </c>
      <c r="I122" s="1">
        <v>102.75449999999999</v>
      </c>
      <c r="J122" s="1">
        <f t="shared" si="7"/>
        <v>95.915267599999993</v>
      </c>
      <c r="K122" s="1">
        <v>4.2068000000000154</v>
      </c>
      <c r="L122" s="1">
        <f t="shared" si="8"/>
        <v>126.09481820224721</v>
      </c>
      <c r="M122" s="1">
        <v>-275.63040999999998</v>
      </c>
      <c r="N122" s="1">
        <v>-34.920400000000001</v>
      </c>
    </row>
    <row r="123" spans="1:14" x14ac:dyDescent="0.4">
      <c r="B123" s="1">
        <v>6.2</v>
      </c>
      <c r="C123" s="1" t="s">
        <v>133</v>
      </c>
      <c r="D123" s="3">
        <f t="shared" si="12"/>
        <v>1997.4285738000001</v>
      </c>
      <c r="E123" s="1">
        <v>39.291600000000003</v>
      </c>
      <c r="F123" s="1">
        <v>19.545500000000001</v>
      </c>
      <c r="G123" s="1">
        <v>5.4257</v>
      </c>
      <c r="H123" s="1">
        <v>9.7617999999999991</v>
      </c>
      <c r="I123" s="1">
        <v>48.9206</v>
      </c>
      <c r="J123" s="1">
        <f t="shared" si="7"/>
        <v>47.427519199999999</v>
      </c>
      <c r="K123" s="1">
        <v>3.8874400000000264</v>
      </c>
      <c r="L123" s="1">
        <f t="shared" si="8"/>
        <v>12.646926292134836</v>
      </c>
      <c r="M123" s="1">
        <v>-272.21942999999999</v>
      </c>
      <c r="N123" s="1">
        <v>-34.563740000000003</v>
      </c>
    </row>
    <row r="124" spans="1:14" x14ac:dyDescent="0.4">
      <c r="B124" s="1">
        <v>6.25</v>
      </c>
      <c r="C124" s="1" t="s">
        <v>134</v>
      </c>
      <c r="D124" s="3">
        <f t="shared" si="12"/>
        <v>1997.35714525</v>
      </c>
      <c r="E124" s="1">
        <v>96.6922</v>
      </c>
      <c r="F124" s="1">
        <v>17.501999999999999</v>
      </c>
      <c r="G124" s="1">
        <v>15.447699999999999</v>
      </c>
      <c r="H124" s="1">
        <v>12.716200000000001</v>
      </c>
      <c r="I124" s="1" t="s">
        <v>135</v>
      </c>
      <c r="L124" s="1">
        <f t="shared" si="8"/>
        <v>96.6922</v>
      </c>
      <c r="M124" s="1">
        <v>-267.82393000000002</v>
      </c>
      <c r="N124" s="1">
        <v>-34.117750000000001</v>
      </c>
    </row>
    <row r="125" spans="1:14" x14ac:dyDescent="0.4">
      <c r="B125" s="1">
        <v>6.3</v>
      </c>
      <c r="C125" s="1" t="s">
        <v>136</v>
      </c>
      <c r="D125" s="3">
        <f t="shared" si="12"/>
        <v>1997.2857167000002</v>
      </c>
      <c r="E125" s="1">
        <v>31.367899999999999</v>
      </c>
      <c r="F125" s="1">
        <v>40.091900000000003</v>
      </c>
      <c r="G125" s="1">
        <v>4.3063000000000002</v>
      </c>
      <c r="H125" s="1">
        <v>8.8762000000000008</v>
      </c>
      <c r="I125" s="1">
        <v>69.232699999999994</v>
      </c>
      <c r="J125" s="1">
        <f t="shared" si="7"/>
        <v>68.040719799999991</v>
      </c>
      <c r="K125" s="1">
        <v>3.7327900000000227</v>
      </c>
      <c r="L125" s="1">
        <f t="shared" si="8"/>
        <v>-6.8572234831460648</v>
      </c>
      <c r="M125" s="1">
        <v>-270.11606</v>
      </c>
      <c r="N125" s="1">
        <v>-34.263269999999999</v>
      </c>
    </row>
    <row r="126" spans="1:14" x14ac:dyDescent="0.4">
      <c r="B126" s="1">
        <v>6.35</v>
      </c>
      <c r="C126" s="1" t="s">
        <v>137</v>
      </c>
      <c r="D126" s="3">
        <f t="shared" si="12"/>
        <v>1997.2142881500001</v>
      </c>
      <c r="E126" s="1">
        <v>110.9576</v>
      </c>
      <c r="F126" s="1">
        <v>5.6776999999999997</v>
      </c>
      <c r="G126" s="1">
        <v>7.9427000000000003</v>
      </c>
      <c r="H126" s="1">
        <v>20.086500000000001</v>
      </c>
      <c r="I126" s="1">
        <v>152.73910000000001</v>
      </c>
      <c r="J126" s="1">
        <f t="shared" si="7"/>
        <v>148.5227112</v>
      </c>
      <c r="K126" s="1">
        <v>4.2904900000000339</v>
      </c>
      <c r="L126" s="1">
        <f t="shared" si="8"/>
        <v>27.517874606741572</v>
      </c>
      <c r="M126" s="1">
        <v>-268.94</v>
      </c>
      <c r="N126" s="1">
        <v>-33.97936</v>
      </c>
    </row>
    <row r="127" spans="1:14" x14ac:dyDescent="0.4">
      <c r="B127" s="1">
        <v>6.4</v>
      </c>
      <c r="C127" s="1" t="s">
        <v>138</v>
      </c>
      <c r="D127" s="3">
        <f t="shared" si="12"/>
        <v>1997.1428596000001</v>
      </c>
      <c r="E127" s="1">
        <v>39.334400000000002</v>
      </c>
      <c r="F127" s="1">
        <v>27.623999999999999</v>
      </c>
      <c r="G127" s="1">
        <v>5.9084000000000003</v>
      </c>
      <c r="H127" s="1">
        <v>10.434900000000001</v>
      </c>
      <c r="I127" s="1">
        <v>49.151899999999998</v>
      </c>
      <c r="J127" s="1">
        <f t="shared" si="7"/>
        <v>47.657192799999997</v>
      </c>
      <c r="K127" s="1">
        <v>5.1180699999999888</v>
      </c>
      <c r="L127" s="1">
        <f t="shared" si="8"/>
        <v>12.560696179775285</v>
      </c>
      <c r="M127" s="1">
        <v>-257.92061999999999</v>
      </c>
      <c r="N127" s="1">
        <v>-32.822029999999998</v>
      </c>
    </row>
    <row r="128" spans="1:14" x14ac:dyDescent="0.4">
      <c r="B128" s="1">
        <v>6.45</v>
      </c>
      <c r="C128" s="1" t="s">
        <v>139</v>
      </c>
      <c r="D128" s="3">
        <f t="shared" si="12"/>
        <v>1997.07143105</v>
      </c>
      <c r="E128" s="1">
        <v>107.6871</v>
      </c>
      <c r="F128" s="1">
        <v>5.4249999999999998</v>
      </c>
      <c r="G128" s="1">
        <v>18.988299999999999</v>
      </c>
      <c r="H128" s="1">
        <v>17.430199999999999</v>
      </c>
      <c r="I128" s="1">
        <v>114.2341</v>
      </c>
      <c r="J128" s="1">
        <f t="shared" si="7"/>
        <v>110.1419902</v>
      </c>
      <c r="K128" s="1">
        <v>3.990099999999984</v>
      </c>
      <c r="L128" s="1">
        <f t="shared" si="8"/>
        <v>45.809577415730345</v>
      </c>
      <c r="M128" s="1">
        <v>-241.48465999999999</v>
      </c>
      <c r="N128" s="1">
        <v>-30.964770000000001</v>
      </c>
    </row>
    <row r="129" spans="1:14" x14ac:dyDescent="0.4">
      <c r="A129" s="1">
        <v>1997</v>
      </c>
      <c r="B129" s="1">
        <v>6.5</v>
      </c>
      <c r="C129" s="1" t="s">
        <v>140</v>
      </c>
      <c r="D129" s="3">
        <f>-1.818182*B129+2008.818182</f>
        <v>1996.9999989999999</v>
      </c>
      <c r="E129" s="1">
        <v>16.538499999999999</v>
      </c>
      <c r="F129" s="1">
        <v>8.0809999999999995</v>
      </c>
      <c r="G129" s="1">
        <v>2.3822000000000001</v>
      </c>
      <c r="H129" s="1">
        <v>3.8908999999999998</v>
      </c>
      <c r="I129" s="1">
        <v>38.427</v>
      </c>
      <c r="J129" s="1">
        <f t="shared" si="7"/>
        <v>37.798536999999996</v>
      </c>
      <c r="K129" s="1">
        <v>2.8948800000000006</v>
      </c>
      <c r="L129" s="1">
        <f t="shared" si="8"/>
        <v>-4.6966331460674127</v>
      </c>
      <c r="M129" s="1">
        <v>-221.32022000000001</v>
      </c>
      <c r="N129" s="1">
        <v>-29.519469999999998</v>
      </c>
    </row>
    <row r="130" spans="1:14" x14ac:dyDescent="0.4">
      <c r="B130" s="1">
        <v>6.55</v>
      </c>
      <c r="C130" s="1" t="s">
        <v>141</v>
      </c>
      <c r="D130" s="3">
        <f t="shared" ref="D130:D139" si="13">-1.818182*B130+2008.818182</f>
        <v>1996.9090899</v>
      </c>
      <c r="E130" s="1">
        <v>15.1576</v>
      </c>
      <c r="F130" s="1">
        <v>25.497</v>
      </c>
      <c r="G130" s="1">
        <v>5.4641000000000002</v>
      </c>
      <c r="H130" s="1">
        <v>2.6901000000000002</v>
      </c>
      <c r="I130" s="1">
        <v>100.8356</v>
      </c>
      <c r="J130" s="1">
        <f t="shared" si="7"/>
        <v>100.25961119999999</v>
      </c>
      <c r="K130" s="1">
        <v>4.655619999999999</v>
      </c>
      <c r="L130" s="1">
        <f t="shared" si="8"/>
        <v>-41.168024269662915</v>
      </c>
      <c r="M130" s="1">
        <v>-230.11018000000001</v>
      </c>
      <c r="N130" s="1">
        <v>-30.503150000000002</v>
      </c>
    </row>
    <row r="131" spans="1:14" x14ac:dyDescent="0.4">
      <c r="B131" s="1">
        <v>6.6</v>
      </c>
      <c r="C131" s="1" t="s">
        <v>142</v>
      </c>
      <c r="D131" s="3">
        <f t="shared" si="13"/>
        <v>1996.8181807999999</v>
      </c>
      <c r="E131" s="1">
        <v>0.31169999999999998</v>
      </c>
      <c r="F131" s="1">
        <v>0.42120000000000002</v>
      </c>
      <c r="G131" s="1">
        <v>0.67420000000000002</v>
      </c>
      <c r="H131" s="1">
        <v>6.3628</v>
      </c>
      <c r="I131" s="1">
        <v>68.285499999999999</v>
      </c>
      <c r="J131" s="1">
        <f t="shared" ref="J131:J194" si="14">I131-0.038*E131</f>
        <v>68.273655399999996</v>
      </c>
      <c r="K131" s="1">
        <v>6.2335000000000207</v>
      </c>
      <c r="L131" s="1">
        <f t="shared" ref="L131:L194" si="15">E131-(J131/1.78)</f>
        <v>-38.044286179775277</v>
      </c>
      <c r="M131" s="1">
        <v>-238.68192999999999</v>
      </c>
      <c r="N131" s="1">
        <v>-29.409849999999999</v>
      </c>
    </row>
    <row r="132" spans="1:14" x14ac:dyDescent="0.4">
      <c r="B132" s="1">
        <v>6.65</v>
      </c>
      <c r="C132" s="1" t="s">
        <v>143</v>
      </c>
      <c r="D132" s="3">
        <f t="shared" si="13"/>
        <v>1996.7272717000001</v>
      </c>
      <c r="E132" s="1">
        <v>60.766399999999997</v>
      </c>
      <c r="F132" s="1">
        <v>17.601600000000001</v>
      </c>
      <c r="G132" s="1">
        <v>23.204999999999998</v>
      </c>
      <c r="H132" s="1">
        <v>8.2605000000000004</v>
      </c>
      <c r="I132" s="1">
        <v>105.64190000000001</v>
      </c>
      <c r="J132" s="1">
        <f t="shared" si="14"/>
        <v>103.3327768</v>
      </c>
      <c r="K132" s="1">
        <v>14.83553999999998</v>
      </c>
      <c r="L132" s="1">
        <f t="shared" si="15"/>
        <v>2.7142782022471863</v>
      </c>
      <c r="M132" s="1">
        <v>-253.25856999999999</v>
      </c>
      <c r="N132" s="1">
        <v>-32.175840000000001</v>
      </c>
    </row>
    <row r="133" spans="1:14" x14ac:dyDescent="0.4">
      <c r="B133" s="1">
        <v>6.7</v>
      </c>
      <c r="C133" s="1" t="s">
        <v>144</v>
      </c>
      <c r="D133" s="3">
        <f t="shared" si="13"/>
        <v>1996.6363626</v>
      </c>
      <c r="E133" s="1">
        <v>35.131700000000002</v>
      </c>
      <c r="F133" s="1">
        <v>31.377199999999998</v>
      </c>
      <c r="G133" s="1">
        <v>13.162800000000001</v>
      </c>
      <c r="H133" s="1">
        <v>9.4479000000000006</v>
      </c>
      <c r="I133" s="1">
        <v>127.1135</v>
      </c>
      <c r="J133" s="1">
        <f t="shared" si="14"/>
        <v>125.7784954</v>
      </c>
      <c r="K133" s="1">
        <v>13.915019999999998</v>
      </c>
      <c r="L133" s="1">
        <f t="shared" si="15"/>
        <v>-35.530376067415723</v>
      </c>
      <c r="M133" s="1">
        <v>-253.43966</v>
      </c>
      <c r="N133" s="1">
        <v>-32.191510000000001</v>
      </c>
    </row>
    <row r="134" spans="1:14" x14ac:dyDescent="0.4">
      <c r="B134" s="1">
        <v>6.75</v>
      </c>
      <c r="C134" s="1" t="s">
        <v>145</v>
      </c>
      <c r="D134" s="3">
        <f t="shared" si="13"/>
        <v>1996.5454534999999</v>
      </c>
      <c r="E134" s="1">
        <v>225.77520000000001</v>
      </c>
      <c r="F134" s="1">
        <v>12.919600000000001</v>
      </c>
      <c r="G134" s="1">
        <v>30.1465</v>
      </c>
      <c r="H134" s="1">
        <v>47.3977</v>
      </c>
      <c r="I134" s="1">
        <v>296.78109999999998</v>
      </c>
      <c r="J134" s="1">
        <f t="shared" si="14"/>
        <v>288.20164239999997</v>
      </c>
      <c r="K134" s="1">
        <v>-3.4031300000000044</v>
      </c>
      <c r="L134" s="1">
        <f t="shared" si="15"/>
        <v>63.864164943820271</v>
      </c>
      <c r="M134" s="1">
        <v>-257.75894</v>
      </c>
      <c r="N134" s="1">
        <v>-32.045560000000002</v>
      </c>
    </row>
    <row r="135" spans="1:14" x14ac:dyDescent="0.4">
      <c r="B135" s="1">
        <v>6.8</v>
      </c>
      <c r="C135" s="1" t="s">
        <v>146</v>
      </c>
      <c r="D135" s="3">
        <f t="shared" si="13"/>
        <v>1996.4545444</v>
      </c>
      <c r="E135" s="1">
        <v>38.881700000000002</v>
      </c>
      <c r="F135" s="1">
        <v>19.794799999999999</v>
      </c>
      <c r="G135" s="1">
        <v>8.1516000000000002</v>
      </c>
      <c r="H135" s="1">
        <v>8.7918000000000003</v>
      </c>
      <c r="I135" s="1">
        <v>69.209500000000006</v>
      </c>
      <c r="J135" s="1">
        <f t="shared" si="14"/>
        <v>67.731995400000002</v>
      </c>
      <c r="K135" s="1">
        <v>4.1481500000000153</v>
      </c>
      <c r="L135" s="1">
        <f t="shared" si="15"/>
        <v>0.83001719101123683</v>
      </c>
      <c r="M135" s="1">
        <v>-254.87798000000001</v>
      </c>
      <c r="N135" s="1">
        <v>-32.082590000000003</v>
      </c>
    </row>
    <row r="136" spans="1:14" x14ac:dyDescent="0.4">
      <c r="B136" s="1">
        <v>6.85</v>
      </c>
      <c r="C136" s="1" t="s">
        <v>147</v>
      </c>
      <c r="D136" s="3">
        <f t="shared" si="13"/>
        <v>1996.3636352999999</v>
      </c>
      <c r="E136" s="1">
        <v>56.067599999999999</v>
      </c>
      <c r="F136" s="1">
        <v>14.2997</v>
      </c>
      <c r="G136" s="1">
        <v>12.7963</v>
      </c>
      <c r="H136" s="1">
        <v>15.4726</v>
      </c>
      <c r="I136" s="1">
        <v>242.0025</v>
      </c>
      <c r="J136" s="1">
        <f t="shared" si="14"/>
        <v>239.87193120000001</v>
      </c>
      <c r="K136" s="1">
        <v>4.0924200000000042</v>
      </c>
      <c r="L136" s="1">
        <f t="shared" si="15"/>
        <v>-78.691911910112367</v>
      </c>
      <c r="M136" s="1">
        <v>-258.90410000000003</v>
      </c>
      <c r="N136" s="1">
        <v>-32.726860000000002</v>
      </c>
    </row>
    <row r="137" spans="1:14" x14ac:dyDescent="0.4">
      <c r="B137" s="1">
        <v>6.9</v>
      </c>
      <c r="C137" s="1" t="s">
        <v>148</v>
      </c>
      <c r="D137" s="3">
        <f t="shared" si="13"/>
        <v>1996.2727262000001</v>
      </c>
      <c r="E137" s="1">
        <v>22.035900000000002</v>
      </c>
      <c r="F137" s="1">
        <v>11.343</v>
      </c>
      <c r="G137" s="1">
        <v>4.4741</v>
      </c>
      <c r="H137" s="1">
        <v>5.2641999999999998</v>
      </c>
      <c r="I137" s="1">
        <v>62.8367</v>
      </c>
      <c r="J137" s="1">
        <f t="shared" si="14"/>
        <v>61.999335799999997</v>
      </c>
      <c r="K137" s="1">
        <v>-1.3944599999999809</v>
      </c>
      <c r="L137" s="1">
        <f t="shared" si="15"/>
        <v>-12.795187528089887</v>
      </c>
      <c r="M137" s="1">
        <v>-259.32341000000002</v>
      </c>
      <c r="N137" s="1">
        <v>-32.5792</v>
      </c>
    </row>
    <row r="138" spans="1:14" x14ac:dyDescent="0.4">
      <c r="B138" s="1">
        <v>6.95</v>
      </c>
      <c r="C138" s="1" t="s">
        <v>149</v>
      </c>
      <c r="D138" s="3">
        <f t="shared" si="13"/>
        <v>1996.1818171</v>
      </c>
      <c r="E138" s="1">
        <v>45.976700000000001</v>
      </c>
      <c r="F138" s="1">
        <v>6.1985000000000001</v>
      </c>
      <c r="G138" s="1">
        <v>27.323499999999999</v>
      </c>
      <c r="H138" s="1">
        <v>12.9808</v>
      </c>
      <c r="I138" s="1">
        <v>78.320099999999996</v>
      </c>
      <c r="J138" s="1">
        <f t="shared" si="14"/>
        <v>76.572985399999993</v>
      </c>
      <c r="K138" s="1">
        <v>1.7827400000000182</v>
      </c>
      <c r="L138" s="1">
        <f t="shared" si="15"/>
        <v>2.9581688764044998</v>
      </c>
      <c r="M138" s="1">
        <v>-250.58856</v>
      </c>
      <c r="N138" s="1">
        <v>-31.535329999999998</v>
      </c>
    </row>
    <row r="139" spans="1:14" x14ac:dyDescent="0.4">
      <c r="B139" s="1">
        <v>7</v>
      </c>
      <c r="C139" s="1" t="s">
        <v>150</v>
      </c>
      <c r="D139" s="3">
        <f t="shared" si="13"/>
        <v>1996.0909079999999</v>
      </c>
      <c r="E139" s="1">
        <v>40.409700000000001</v>
      </c>
      <c r="F139" s="1">
        <v>12.1249</v>
      </c>
      <c r="G139" s="1">
        <v>16.9619</v>
      </c>
      <c r="H139" s="1">
        <v>7.0563000000000002</v>
      </c>
      <c r="I139" s="1">
        <v>35.725200000000001</v>
      </c>
      <c r="J139" s="1">
        <f t="shared" si="14"/>
        <v>34.189631400000003</v>
      </c>
      <c r="K139" s="1">
        <v>2.9107799999999884</v>
      </c>
      <c r="L139" s="1">
        <f t="shared" si="15"/>
        <v>21.20204191011236</v>
      </c>
      <c r="M139" s="1">
        <v>-237.45553000000001</v>
      </c>
      <c r="N139" s="1">
        <v>-29.76746</v>
      </c>
    </row>
    <row r="140" spans="1:14" x14ac:dyDescent="0.4">
      <c r="A140" s="1">
        <v>1996</v>
      </c>
      <c r="B140" s="1">
        <v>7.05</v>
      </c>
      <c r="C140" s="1" t="s">
        <v>151</v>
      </c>
      <c r="D140" s="3">
        <f>-2*B140+2010.1</f>
        <v>1996</v>
      </c>
      <c r="E140" s="1">
        <v>65.5732</v>
      </c>
      <c r="F140" s="1">
        <v>4.6914999999999996</v>
      </c>
      <c r="G140" s="1">
        <v>5.1740000000000004</v>
      </c>
      <c r="H140" s="1">
        <v>16.668500000000002</v>
      </c>
      <c r="I140" s="1">
        <v>106.69629999999999</v>
      </c>
      <c r="J140" s="1">
        <f t="shared" si="14"/>
        <v>104.2045184</v>
      </c>
      <c r="K140" s="1">
        <v>1.3101899999999773</v>
      </c>
      <c r="L140" s="1">
        <f t="shared" si="15"/>
        <v>7.0313357303370836</v>
      </c>
      <c r="M140" s="1">
        <v>-226.09237999999999</v>
      </c>
      <c r="N140" s="1">
        <v>-28.481719999999999</v>
      </c>
    </row>
    <row r="141" spans="1:14" x14ac:dyDescent="0.4">
      <c r="B141" s="1">
        <v>7.1</v>
      </c>
      <c r="C141" s="1" t="s">
        <v>152</v>
      </c>
      <c r="D141" s="3">
        <f t="shared" ref="D141:D149" si="16">-2*B141+2010.1</f>
        <v>1995.8999999999999</v>
      </c>
      <c r="E141" s="1">
        <v>20.097799999999999</v>
      </c>
      <c r="F141" s="1">
        <v>11.297800000000001</v>
      </c>
      <c r="G141" s="1">
        <v>10.183400000000001</v>
      </c>
      <c r="H141" s="1">
        <v>7.2915999999999999</v>
      </c>
      <c r="I141" s="1">
        <v>43.308100000000003</v>
      </c>
      <c r="J141" s="1">
        <f t="shared" si="14"/>
        <v>42.544383600000003</v>
      </c>
      <c r="K141" s="1">
        <v>1.6940799999999854</v>
      </c>
      <c r="L141" s="1">
        <f t="shared" si="15"/>
        <v>-3.8035391011235973</v>
      </c>
      <c r="M141" s="1">
        <v>-232.90257</v>
      </c>
      <c r="N141" s="1">
        <v>-29.154699999999998</v>
      </c>
    </row>
    <row r="142" spans="1:14" x14ac:dyDescent="0.4">
      <c r="B142" s="1">
        <v>7.15</v>
      </c>
      <c r="C142" s="1" t="s">
        <v>153</v>
      </c>
      <c r="D142" s="3">
        <f t="shared" si="16"/>
        <v>1995.8</v>
      </c>
      <c r="E142" s="1">
        <v>64.258899999999997</v>
      </c>
      <c r="F142" s="1">
        <v>18.1418</v>
      </c>
      <c r="G142" s="1">
        <v>16.8047</v>
      </c>
      <c r="H142" s="1">
        <v>19.473299999999998</v>
      </c>
      <c r="I142" s="1">
        <v>233.26310000000001</v>
      </c>
      <c r="J142" s="1">
        <f t="shared" si="14"/>
        <v>230.8212618</v>
      </c>
      <c r="K142" s="1">
        <v>0.68414999999998827</v>
      </c>
      <c r="L142" s="1">
        <f t="shared" si="15"/>
        <v>-65.415966179775282</v>
      </c>
      <c r="M142" s="1">
        <v>-248.53831</v>
      </c>
      <c r="N142" s="1">
        <v>-31.016249999999999</v>
      </c>
    </row>
    <row r="143" spans="1:14" x14ac:dyDescent="0.4">
      <c r="B143" s="1">
        <v>7.2</v>
      </c>
      <c r="C143" s="1" t="s">
        <v>154</v>
      </c>
      <c r="D143" s="3">
        <f t="shared" si="16"/>
        <v>1995.6999999999998</v>
      </c>
      <c r="E143" s="1">
        <v>37.5565</v>
      </c>
      <c r="F143" s="1">
        <v>6.2011000000000003</v>
      </c>
      <c r="G143" s="1">
        <v>8.7550000000000008</v>
      </c>
      <c r="H143" s="1">
        <v>9.3143999999999991</v>
      </c>
      <c r="I143" s="1">
        <v>44.470300000000002</v>
      </c>
      <c r="J143" s="1">
        <f t="shared" si="14"/>
        <v>43.043153000000004</v>
      </c>
      <c r="K143" s="1">
        <v>1.7613800000000026</v>
      </c>
      <c r="L143" s="1">
        <f t="shared" si="15"/>
        <v>13.374953370786514</v>
      </c>
      <c r="M143" s="1">
        <v>-266.35081000000002</v>
      </c>
      <c r="N143" s="1">
        <v>-33.145400000000002</v>
      </c>
    </row>
    <row r="144" spans="1:14" x14ac:dyDescent="0.4">
      <c r="B144" s="1">
        <v>7.25</v>
      </c>
      <c r="C144" s="1" t="s">
        <v>155</v>
      </c>
      <c r="D144" s="3">
        <f t="shared" si="16"/>
        <v>1995.6</v>
      </c>
      <c r="E144" s="1">
        <v>68.502200000000002</v>
      </c>
      <c r="F144" s="1">
        <v>7.5176999999999996</v>
      </c>
      <c r="G144" s="1">
        <v>17.192799999999998</v>
      </c>
      <c r="H144" s="1">
        <v>22.631699999999999</v>
      </c>
      <c r="I144" s="1">
        <v>117.3396</v>
      </c>
      <c r="J144" s="1">
        <f t="shared" si="14"/>
        <v>114.7365164</v>
      </c>
      <c r="K144" s="1">
        <v>0.33502999999998906</v>
      </c>
      <c r="L144" s="1">
        <f t="shared" si="15"/>
        <v>4.0434829213483141</v>
      </c>
      <c r="M144" s="1">
        <v>-277.38771000000003</v>
      </c>
      <c r="N144" s="1">
        <v>-34.607469999999999</v>
      </c>
    </row>
    <row r="145" spans="1:14" x14ac:dyDescent="0.4">
      <c r="B145" s="1">
        <v>7.3</v>
      </c>
      <c r="C145" s="1" t="s">
        <v>156</v>
      </c>
      <c r="D145" s="3">
        <f t="shared" si="16"/>
        <v>1995.5</v>
      </c>
      <c r="E145" s="1">
        <v>63.627400000000002</v>
      </c>
      <c r="F145" s="1">
        <v>11.7974</v>
      </c>
      <c r="G145" s="1">
        <v>7.9790999999999999</v>
      </c>
      <c r="H145" s="1">
        <v>15.6889</v>
      </c>
      <c r="I145" s="1">
        <v>56.3718</v>
      </c>
      <c r="J145" s="1">
        <f t="shared" si="14"/>
        <v>53.953958800000002</v>
      </c>
      <c r="K145" s="1">
        <v>-0.40831000000000017</v>
      </c>
      <c r="L145" s="1">
        <f t="shared" si="15"/>
        <v>33.316187191011238</v>
      </c>
      <c r="M145" s="1">
        <v>-284.94522000000001</v>
      </c>
      <c r="N145" s="1">
        <v>-35.512860000000003</v>
      </c>
    </row>
    <row r="146" spans="1:14" x14ac:dyDescent="0.4">
      <c r="B146" s="1">
        <v>7.35</v>
      </c>
      <c r="C146" s="1" t="s">
        <v>157</v>
      </c>
      <c r="D146" s="3">
        <f t="shared" si="16"/>
        <v>1995.3999999999999</v>
      </c>
      <c r="E146" s="1">
        <v>114.605</v>
      </c>
      <c r="F146" s="1">
        <v>14.518599999999999</v>
      </c>
      <c r="G146" s="1">
        <v>9.4917999999999996</v>
      </c>
      <c r="H146" s="1">
        <v>33.5383</v>
      </c>
      <c r="I146" s="1">
        <v>86.879800000000003</v>
      </c>
      <c r="J146" s="1">
        <f t="shared" si="14"/>
        <v>82.524810000000002</v>
      </c>
      <c r="K146" s="1">
        <v>-1.1876100000000065</v>
      </c>
      <c r="L146" s="1">
        <f t="shared" si="15"/>
        <v>68.242747191011233</v>
      </c>
      <c r="M146" s="1">
        <v>-286.93506000000002</v>
      </c>
      <c r="N146" s="1">
        <v>-35.489449999999998</v>
      </c>
    </row>
    <row r="147" spans="1:14" x14ac:dyDescent="0.4">
      <c r="B147" s="1">
        <v>7.4</v>
      </c>
      <c r="C147" s="1" t="s">
        <v>158</v>
      </c>
      <c r="D147" s="3">
        <f t="shared" si="16"/>
        <v>1995.3</v>
      </c>
      <c r="E147" s="1">
        <v>43.8977</v>
      </c>
      <c r="F147" s="1">
        <v>8.1288999999999998</v>
      </c>
      <c r="G147" s="1">
        <v>4.5004999999999997</v>
      </c>
      <c r="H147" s="1">
        <v>12.6319</v>
      </c>
      <c r="I147" s="1">
        <v>53.795000000000002</v>
      </c>
      <c r="J147" s="1">
        <f t="shared" si="14"/>
        <v>52.126887400000001</v>
      </c>
      <c r="K147" s="1">
        <v>-0.52795000000003256</v>
      </c>
      <c r="L147" s="1">
        <f t="shared" si="15"/>
        <v>14.612931797752807</v>
      </c>
      <c r="M147" s="1">
        <v>-258.38537000000002</v>
      </c>
      <c r="N147" s="1">
        <v>-32.151310000000002</v>
      </c>
    </row>
    <row r="148" spans="1:14" x14ac:dyDescent="0.4">
      <c r="B148" s="1">
        <v>7.45</v>
      </c>
      <c r="C148" s="1" t="s">
        <v>159</v>
      </c>
      <c r="D148" s="3">
        <f t="shared" si="16"/>
        <v>1995.1999999999998</v>
      </c>
      <c r="E148" s="1">
        <v>38.318199999999997</v>
      </c>
      <c r="F148" s="1">
        <v>8.2990999999999993</v>
      </c>
      <c r="G148" s="1">
        <v>8.0850000000000009</v>
      </c>
      <c r="H148" s="1">
        <v>14.040699999999999</v>
      </c>
      <c r="I148" s="1">
        <v>193.47880000000001</v>
      </c>
      <c r="J148" s="1">
        <f t="shared" si="14"/>
        <v>192.0227084</v>
      </c>
      <c r="K148" s="1">
        <v>-0.84233999999997877</v>
      </c>
      <c r="L148" s="1">
        <f t="shared" si="15"/>
        <v>-69.559726067415738</v>
      </c>
      <c r="M148" s="1">
        <v>-235.86542</v>
      </c>
      <c r="N148" s="1">
        <v>-29.65559</v>
      </c>
    </row>
    <row r="149" spans="1:14" x14ac:dyDescent="0.4">
      <c r="B149" s="1">
        <v>7.5</v>
      </c>
      <c r="C149" s="1" t="s">
        <v>160</v>
      </c>
      <c r="D149" s="3">
        <f t="shared" si="16"/>
        <v>1995.1</v>
      </c>
      <c r="E149" s="1">
        <v>38.005499999999998</v>
      </c>
      <c r="F149" s="1">
        <v>19.773</v>
      </c>
      <c r="G149" s="1">
        <v>5.0284000000000004</v>
      </c>
      <c r="H149" s="1">
        <v>11.0267</v>
      </c>
      <c r="I149" s="1">
        <v>61.305500000000002</v>
      </c>
      <c r="J149" s="1">
        <f t="shared" si="14"/>
        <v>59.861291000000001</v>
      </c>
      <c r="K149" s="1">
        <v>-3.0194600000000378</v>
      </c>
      <c r="L149" s="1">
        <f t="shared" si="15"/>
        <v>4.375561235955054</v>
      </c>
      <c r="M149" s="1">
        <v>-207.69580999999999</v>
      </c>
      <c r="N149" s="1">
        <v>-26.605319999999999</v>
      </c>
    </row>
    <row r="150" spans="1:14" x14ac:dyDescent="0.4">
      <c r="A150" s="1">
        <v>1995</v>
      </c>
      <c r="B150" s="1">
        <v>7.55</v>
      </c>
      <c r="C150" s="1" t="s">
        <v>161</v>
      </c>
      <c r="D150" s="3">
        <f>-1.25*B150+2004.4375</f>
        <v>1995</v>
      </c>
      <c r="E150" s="1">
        <v>275.13</v>
      </c>
      <c r="F150" s="1">
        <v>7.5369000000000002</v>
      </c>
      <c r="G150" s="1">
        <v>14.8371</v>
      </c>
      <c r="H150" s="1">
        <v>65.48</v>
      </c>
      <c r="I150" s="1">
        <v>125.63590000000001</v>
      </c>
      <c r="J150" s="1">
        <f t="shared" si="14"/>
        <v>115.18096000000001</v>
      </c>
      <c r="K150" s="1">
        <v>-1.1748900000000049</v>
      </c>
      <c r="L150" s="1">
        <f t="shared" si="15"/>
        <v>210.42159550561797</v>
      </c>
      <c r="M150" s="1">
        <v>-192.25336999999999</v>
      </c>
      <c r="N150" s="1">
        <v>-24.56934</v>
      </c>
    </row>
    <row r="151" spans="1:14" x14ac:dyDescent="0.4">
      <c r="B151" s="1">
        <v>7.6</v>
      </c>
      <c r="C151" s="1" t="s">
        <v>162</v>
      </c>
      <c r="D151" s="3">
        <f t="shared" ref="D151:D165" si="17">-1.25*B151+2004.4375</f>
        <v>1994.9375</v>
      </c>
      <c r="E151" s="1">
        <v>119.9978</v>
      </c>
      <c r="F151" s="1">
        <v>12.487500000000001</v>
      </c>
      <c r="G151" s="1">
        <v>6.0331000000000001</v>
      </c>
      <c r="H151" s="1">
        <v>27.712</v>
      </c>
      <c r="I151" s="1">
        <v>70.544600000000003</v>
      </c>
      <c r="J151" s="1">
        <f t="shared" si="14"/>
        <v>65.984683599999997</v>
      </c>
      <c r="K151" s="1">
        <v>1.3793000000000006</v>
      </c>
      <c r="L151" s="1">
        <f t="shared" si="15"/>
        <v>82.927753033707859</v>
      </c>
      <c r="M151" s="1">
        <v>-195.00102999999999</v>
      </c>
      <c r="N151" s="1">
        <v>-24.5945</v>
      </c>
    </row>
    <row r="152" spans="1:14" x14ac:dyDescent="0.4">
      <c r="B152" s="1">
        <v>7.65</v>
      </c>
      <c r="C152" s="1" t="s">
        <v>163</v>
      </c>
      <c r="D152" s="3">
        <f t="shared" si="17"/>
        <v>1994.875</v>
      </c>
      <c r="E152" s="1">
        <v>54.265000000000001</v>
      </c>
      <c r="F152" s="1">
        <v>6.1448</v>
      </c>
      <c r="G152" s="1">
        <v>5.5084999999999997</v>
      </c>
      <c r="H152" s="1">
        <v>19.407299999999999</v>
      </c>
      <c r="I152" s="1">
        <v>82.487499999999997</v>
      </c>
      <c r="J152" s="1">
        <f t="shared" si="14"/>
        <v>80.425429999999992</v>
      </c>
      <c r="K152" s="1">
        <v>5.1467499999999973</v>
      </c>
      <c r="L152" s="1">
        <f t="shared" si="15"/>
        <v>9.0821741573033776</v>
      </c>
      <c r="M152" s="1">
        <v>-203.05578</v>
      </c>
      <c r="N152" s="1">
        <v>-25.441610000000001</v>
      </c>
    </row>
    <row r="153" spans="1:14" x14ac:dyDescent="0.4">
      <c r="B153" s="1">
        <v>7.7</v>
      </c>
      <c r="C153" s="1" t="s">
        <v>164</v>
      </c>
      <c r="D153" s="3">
        <f t="shared" si="17"/>
        <v>1994.8125</v>
      </c>
      <c r="E153" s="1">
        <v>15.0871</v>
      </c>
      <c r="F153" s="1">
        <v>11.815799999999999</v>
      </c>
      <c r="G153" s="1">
        <v>4.6119000000000003</v>
      </c>
      <c r="H153" s="1">
        <v>5.2744999999999997</v>
      </c>
      <c r="I153" s="1">
        <v>49.523400000000002</v>
      </c>
      <c r="J153" s="1">
        <f t="shared" si="14"/>
        <v>48.950090200000005</v>
      </c>
      <c r="K153" s="1">
        <v>4.3013500000000136</v>
      </c>
      <c r="L153" s="1">
        <f t="shared" si="15"/>
        <v>-12.412950674157308</v>
      </c>
      <c r="M153" s="1">
        <v>-205.53688</v>
      </c>
      <c r="N153" s="1">
        <v>-25.598939999999999</v>
      </c>
    </row>
    <row r="154" spans="1:14" x14ac:dyDescent="0.4">
      <c r="B154" s="1">
        <v>7.75</v>
      </c>
      <c r="C154" s="1" t="s">
        <v>165</v>
      </c>
      <c r="D154" s="3">
        <f t="shared" si="17"/>
        <v>1994.75</v>
      </c>
      <c r="E154" s="1">
        <v>23.620799999999999</v>
      </c>
      <c r="F154" s="1">
        <v>4.6105</v>
      </c>
      <c r="G154" s="1">
        <v>8.6067999999999998</v>
      </c>
      <c r="H154" s="1">
        <v>24.381900000000002</v>
      </c>
      <c r="I154" s="1">
        <v>210.70500000000001</v>
      </c>
      <c r="J154" s="1">
        <f t="shared" si="14"/>
        <v>209.8074096</v>
      </c>
      <c r="K154" s="1">
        <v>1.7549700000000144</v>
      </c>
      <c r="L154" s="1">
        <f t="shared" si="15"/>
        <v>-94.248531235955056</v>
      </c>
      <c r="M154" s="1">
        <v>-212.97638000000001</v>
      </c>
      <c r="N154" s="1">
        <v>-26.995159999999998</v>
      </c>
    </row>
    <row r="155" spans="1:14" x14ac:dyDescent="0.4">
      <c r="B155" s="1">
        <v>7.8</v>
      </c>
      <c r="C155" s="1" t="s">
        <v>166</v>
      </c>
      <c r="D155" s="3">
        <f t="shared" si="17"/>
        <v>1994.6875</v>
      </c>
      <c r="E155" s="1">
        <v>16.7866</v>
      </c>
      <c r="F155" s="1">
        <v>8.9659999999999993</v>
      </c>
      <c r="G155" s="1">
        <v>4.2655000000000003</v>
      </c>
      <c r="H155" s="1">
        <v>6.5696000000000003</v>
      </c>
      <c r="I155" s="1">
        <v>78.278999999999996</v>
      </c>
      <c r="J155" s="1">
        <f t="shared" si="14"/>
        <v>77.641109200000002</v>
      </c>
      <c r="K155" s="1">
        <v>0.47710000000000719</v>
      </c>
      <c r="L155" s="1">
        <f t="shared" si="15"/>
        <v>-26.832000674157307</v>
      </c>
      <c r="M155" s="1">
        <v>-223.73191</v>
      </c>
      <c r="N155" s="1">
        <v>-28.261980000000001</v>
      </c>
    </row>
    <row r="156" spans="1:14" x14ac:dyDescent="0.4">
      <c r="B156" s="1">
        <v>7.85</v>
      </c>
      <c r="C156" s="1" t="s">
        <v>167</v>
      </c>
      <c r="D156" s="3">
        <f t="shared" si="17"/>
        <v>1994.625</v>
      </c>
      <c r="E156" s="1">
        <v>30.220099999999999</v>
      </c>
      <c r="F156" s="1">
        <v>12.635300000000001</v>
      </c>
      <c r="G156" s="1">
        <v>10.760899999999999</v>
      </c>
      <c r="H156" s="1">
        <v>22.3</v>
      </c>
      <c r="I156" s="1">
        <v>107.12439999999999</v>
      </c>
      <c r="J156" s="1">
        <f t="shared" si="14"/>
        <v>105.9760362</v>
      </c>
      <c r="K156" s="1">
        <v>-0.74536000000000513</v>
      </c>
      <c r="L156" s="1">
        <f t="shared" si="15"/>
        <v>-29.316998988764045</v>
      </c>
      <c r="M156" s="1">
        <v>-235.39182</v>
      </c>
      <c r="N156" s="1">
        <v>-29.35904</v>
      </c>
    </row>
    <row r="157" spans="1:14" x14ac:dyDescent="0.4">
      <c r="B157" s="1">
        <v>7.9</v>
      </c>
      <c r="C157" s="1" t="s">
        <v>168</v>
      </c>
      <c r="D157" s="3">
        <f t="shared" si="17"/>
        <v>1994.5625</v>
      </c>
      <c r="E157" s="1">
        <v>61.088299999999997</v>
      </c>
      <c r="F157" s="1">
        <v>10.530799999999999</v>
      </c>
      <c r="G157" s="1">
        <v>11.9734</v>
      </c>
      <c r="H157" s="1">
        <v>17.4437</v>
      </c>
      <c r="I157" s="1">
        <v>101.2394</v>
      </c>
      <c r="J157" s="1">
        <f t="shared" si="14"/>
        <v>98.918044600000002</v>
      </c>
      <c r="K157" s="1">
        <v>2.9848999999999819</v>
      </c>
      <c r="L157" s="1">
        <f t="shared" si="15"/>
        <v>5.5163648314606704</v>
      </c>
      <c r="M157" s="1">
        <v>-243.56433999999999</v>
      </c>
      <c r="N157" s="1">
        <v>-30.441099999999999</v>
      </c>
    </row>
    <row r="158" spans="1:14" x14ac:dyDescent="0.4">
      <c r="B158" s="1">
        <v>7.95</v>
      </c>
      <c r="C158" s="1" t="s">
        <v>169</v>
      </c>
      <c r="D158" s="3">
        <f t="shared" si="17"/>
        <v>1994.5</v>
      </c>
      <c r="E158" s="1">
        <v>57.6494</v>
      </c>
      <c r="F158" s="1">
        <v>7.9709000000000003</v>
      </c>
      <c r="G158" s="1">
        <v>6.9960000000000004</v>
      </c>
      <c r="H158" s="1">
        <v>27.837</v>
      </c>
      <c r="I158" s="1">
        <v>195.023</v>
      </c>
      <c r="J158" s="1">
        <f t="shared" si="14"/>
        <v>192.83232279999999</v>
      </c>
      <c r="K158" s="1">
        <v>2.3639300000000105</v>
      </c>
      <c r="L158" s="1">
        <f t="shared" si="15"/>
        <v>-50.683365617977515</v>
      </c>
      <c r="M158" s="1">
        <v>-235.72119000000001</v>
      </c>
      <c r="N158" s="1">
        <v>-29.799420000000001</v>
      </c>
    </row>
    <row r="159" spans="1:14" x14ac:dyDescent="0.4">
      <c r="B159" s="1">
        <v>8</v>
      </c>
      <c r="C159" s="1" t="s">
        <v>170</v>
      </c>
      <c r="D159" s="3">
        <f t="shared" si="17"/>
        <v>1994.4375</v>
      </c>
      <c r="E159" s="1">
        <v>26.6663</v>
      </c>
      <c r="F159" s="1">
        <v>15.763999999999999</v>
      </c>
      <c r="G159" s="1">
        <v>7.7713000000000001</v>
      </c>
      <c r="H159" s="1">
        <v>9.6996000000000002</v>
      </c>
      <c r="I159" s="1">
        <v>63.843600000000002</v>
      </c>
      <c r="J159" s="1">
        <f t="shared" si="14"/>
        <v>62.830280600000002</v>
      </c>
      <c r="K159" s="1">
        <v>-0.51949999999999363</v>
      </c>
      <c r="L159" s="1">
        <f t="shared" si="15"/>
        <v>-8.631610449438206</v>
      </c>
      <c r="M159" s="1">
        <v>-221.2978</v>
      </c>
      <c r="N159" s="1">
        <v>-28.202459999999999</v>
      </c>
    </row>
    <row r="160" spans="1:14" x14ac:dyDescent="0.4">
      <c r="B160" s="1">
        <v>8.0500000000000007</v>
      </c>
      <c r="C160" s="1" t="s">
        <v>171</v>
      </c>
      <c r="D160" s="3">
        <f t="shared" si="17"/>
        <v>1994.375</v>
      </c>
      <c r="E160" s="1">
        <v>27.886099999999999</v>
      </c>
      <c r="F160" s="1">
        <v>28.4299</v>
      </c>
      <c r="G160" s="1">
        <v>10.337899999999999</v>
      </c>
      <c r="H160" s="1">
        <v>18.942799999999998</v>
      </c>
      <c r="I160" s="1">
        <v>167.24930000000001</v>
      </c>
      <c r="J160" s="1">
        <f t="shared" si="14"/>
        <v>166.18962820000002</v>
      </c>
      <c r="K160" s="1">
        <v>-3.5539999999997463E-2</v>
      </c>
      <c r="L160" s="1">
        <f t="shared" si="15"/>
        <v>-65.478859662921352</v>
      </c>
      <c r="M160" s="1">
        <v>-216.08276000000001</v>
      </c>
      <c r="N160" s="1">
        <v>-27.58248</v>
      </c>
    </row>
    <row r="161" spans="1:14" x14ac:dyDescent="0.4">
      <c r="B161" s="1">
        <v>8.1</v>
      </c>
      <c r="C161" s="1" t="s">
        <v>172</v>
      </c>
      <c r="D161" s="3">
        <f t="shared" si="17"/>
        <v>1994.3125</v>
      </c>
      <c r="E161" s="1">
        <v>11.248100000000001</v>
      </c>
      <c r="F161" s="1">
        <v>12.399100000000001</v>
      </c>
      <c r="G161" s="1">
        <v>3.8344999999999998</v>
      </c>
      <c r="H161" s="1">
        <v>3.9943</v>
      </c>
      <c r="I161" s="1">
        <v>42.670400000000001</v>
      </c>
      <c r="J161" s="1">
        <f t="shared" si="14"/>
        <v>42.242972200000004</v>
      </c>
      <c r="K161" s="1">
        <v>2.6741700000000037</v>
      </c>
      <c r="L161" s="1">
        <f t="shared" si="15"/>
        <v>-12.483906853932584</v>
      </c>
      <c r="M161" s="1">
        <v>-217.71834000000001</v>
      </c>
      <c r="N161" s="1">
        <v>-27.660540000000001</v>
      </c>
    </row>
    <row r="162" spans="1:14" x14ac:dyDescent="0.4">
      <c r="B162" s="1">
        <v>8.15</v>
      </c>
      <c r="C162" s="1" t="s">
        <v>173</v>
      </c>
      <c r="D162" s="3">
        <f t="shared" si="17"/>
        <v>1994.25</v>
      </c>
      <c r="E162" s="1">
        <v>35.046199999999999</v>
      </c>
      <c r="F162" s="1">
        <v>20.840800000000002</v>
      </c>
      <c r="G162" s="1">
        <v>8.9791000000000007</v>
      </c>
      <c r="H162" s="1">
        <v>17.237400000000001</v>
      </c>
      <c r="I162" s="1">
        <v>89.111199999999997</v>
      </c>
      <c r="J162" s="1">
        <f t="shared" si="14"/>
        <v>87.779444400000003</v>
      </c>
      <c r="K162" s="1">
        <v>4.3218799999999931</v>
      </c>
      <c r="L162" s="1">
        <f t="shared" si="15"/>
        <v>-14.268094606741577</v>
      </c>
      <c r="M162" s="1">
        <v>-223.69889000000001</v>
      </c>
      <c r="N162" s="1">
        <v>-28.07103</v>
      </c>
    </row>
    <row r="163" spans="1:14" x14ac:dyDescent="0.4">
      <c r="B163" s="1">
        <v>8.1999999999999993</v>
      </c>
      <c r="C163" s="1" t="s">
        <v>174</v>
      </c>
      <c r="D163" s="3">
        <f t="shared" si="17"/>
        <v>1994.1875</v>
      </c>
      <c r="E163" s="1">
        <v>24.008900000000001</v>
      </c>
      <c r="F163" s="1">
        <v>6.9253999999999998</v>
      </c>
      <c r="G163" s="1">
        <v>3.9594</v>
      </c>
      <c r="H163" s="1">
        <v>8.9819999999999993</v>
      </c>
      <c r="I163" s="1">
        <v>49.010399999999997</v>
      </c>
      <c r="J163" s="1">
        <f t="shared" si="14"/>
        <v>48.098061799999996</v>
      </c>
      <c r="K163" s="1">
        <v>4.5770799999999952</v>
      </c>
      <c r="L163" s="1">
        <f t="shared" si="15"/>
        <v>-3.0124830337078627</v>
      </c>
      <c r="M163" s="1">
        <v>-223.36072999999999</v>
      </c>
      <c r="N163" s="1">
        <v>-28.111249999999998</v>
      </c>
    </row>
    <row r="164" spans="1:14" x14ac:dyDescent="0.4">
      <c r="B164" s="1">
        <v>8.25</v>
      </c>
      <c r="C164" s="1" t="s">
        <v>175</v>
      </c>
      <c r="D164" s="3">
        <f t="shared" si="17"/>
        <v>1994.125</v>
      </c>
      <c r="E164" s="1">
        <v>43.982500000000002</v>
      </c>
      <c r="F164" s="1">
        <v>11.962400000000001</v>
      </c>
      <c r="G164" s="1">
        <v>10.7852</v>
      </c>
      <c r="H164" s="1">
        <v>19.713799999999999</v>
      </c>
      <c r="I164" s="1">
        <v>79.360100000000003</v>
      </c>
      <c r="J164" s="1">
        <f t="shared" si="14"/>
        <v>77.688765000000004</v>
      </c>
      <c r="K164" s="1">
        <v>3.5659799999999962</v>
      </c>
      <c r="L164" s="1">
        <f t="shared" si="15"/>
        <v>0.33712640449438425</v>
      </c>
      <c r="M164" s="1">
        <v>-221.46109999999999</v>
      </c>
      <c r="N164" s="1">
        <v>-27.898209999999999</v>
      </c>
    </row>
    <row r="165" spans="1:14" x14ac:dyDescent="0.4">
      <c r="B165" s="1">
        <v>8.3000000000000007</v>
      </c>
      <c r="C165" s="1" t="s">
        <v>176</v>
      </c>
      <c r="D165" s="3">
        <f t="shared" si="17"/>
        <v>1994.0625</v>
      </c>
      <c r="E165" s="1">
        <v>12.3643</v>
      </c>
      <c r="F165" s="1">
        <v>14.904</v>
      </c>
      <c r="G165" s="1">
        <v>5.0915999999999997</v>
      </c>
      <c r="H165" s="1">
        <v>6.84</v>
      </c>
      <c r="I165" s="1">
        <v>69.6357</v>
      </c>
      <c r="J165" s="1">
        <f t="shared" si="14"/>
        <v>69.165856599999998</v>
      </c>
      <c r="K165" s="1">
        <v>0.86934999999999718</v>
      </c>
      <c r="L165" s="1">
        <f t="shared" si="15"/>
        <v>-26.492922808988759</v>
      </c>
      <c r="M165" s="1">
        <v>-215.77026000000001</v>
      </c>
      <c r="N165" s="1">
        <v>-27.384699999999999</v>
      </c>
    </row>
    <row r="166" spans="1:14" x14ac:dyDescent="0.4">
      <c r="A166" s="1">
        <v>1994</v>
      </c>
      <c r="B166" s="1">
        <v>8.35</v>
      </c>
      <c r="C166" s="1" t="s">
        <v>177</v>
      </c>
      <c r="D166" s="3">
        <f>-1.1111*B166+2003.277778</f>
        <v>1994.0000929999999</v>
      </c>
      <c r="E166" s="1">
        <v>63.396099999999997</v>
      </c>
      <c r="F166" s="1">
        <v>24.581900000000001</v>
      </c>
      <c r="G166" s="1">
        <v>53.549900000000001</v>
      </c>
      <c r="H166" s="1">
        <v>14.0732</v>
      </c>
      <c r="I166" s="1">
        <v>147.54519999999999</v>
      </c>
      <c r="J166" s="1">
        <f t="shared" si="14"/>
        <v>145.13614820000001</v>
      </c>
      <c r="K166" s="1">
        <v>1.5292699999999968</v>
      </c>
      <c r="L166" s="1">
        <f t="shared" si="15"/>
        <v>-18.141061910112363</v>
      </c>
      <c r="M166" s="1">
        <v>-213.54121000000001</v>
      </c>
      <c r="N166" s="1">
        <v>-26.972000000000001</v>
      </c>
    </row>
    <row r="167" spans="1:14" x14ac:dyDescent="0.4">
      <c r="B167" s="1">
        <v>8.4</v>
      </c>
      <c r="C167" s="1" t="s">
        <v>178</v>
      </c>
      <c r="D167" s="3">
        <f t="shared" ref="D167:D183" si="18">-1.1111*B167+2003.277778</f>
        <v>1993.944538</v>
      </c>
      <c r="E167" s="1">
        <v>13.7935</v>
      </c>
      <c r="F167" s="1">
        <v>18.4314</v>
      </c>
      <c r="G167" s="1">
        <v>4.7234999999999996</v>
      </c>
      <c r="H167" s="1">
        <v>5.2953000000000001</v>
      </c>
      <c r="I167" s="1">
        <v>100.2697</v>
      </c>
      <c r="J167" s="1">
        <f t="shared" si="14"/>
        <v>99.745547000000002</v>
      </c>
      <c r="K167" s="1">
        <v>1.7245800000000031</v>
      </c>
      <c r="L167" s="1">
        <f t="shared" si="15"/>
        <v>-42.24332415730337</v>
      </c>
      <c r="M167" s="1">
        <v>-215.41762</v>
      </c>
      <c r="N167" s="1">
        <v>-27.27534</v>
      </c>
    </row>
    <row r="168" spans="1:14" x14ac:dyDescent="0.4">
      <c r="B168" s="1">
        <v>8.4499999999999993</v>
      </c>
      <c r="C168" s="1" t="s">
        <v>179</v>
      </c>
      <c r="D168" s="3">
        <f t="shared" si="18"/>
        <v>1993.8889829999998</v>
      </c>
      <c r="E168" s="1">
        <v>23.2652</v>
      </c>
      <c r="F168" s="1">
        <v>9.8331999999999997</v>
      </c>
      <c r="G168" s="1">
        <v>9.7888000000000002</v>
      </c>
      <c r="H168" s="1">
        <v>11.819000000000001</v>
      </c>
      <c r="I168" s="1">
        <v>65.038200000000003</v>
      </c>
      <c r="J168" s="1">
        <f t="shared" si="14"/>
        <v>64.154122400000006</v>
      </c>
      <c r="K168" s="1">
        <v>3.3073399999999822</v>
      </c>
      <c r="L168" s="1">
        <f t="shared" si="15"/>
        <v>-12.77644179775281</v>
      </c>
      <c r="M168" s="1">
        <v>-222.53371000000001</v>
      </c>
      <c r="N168" s="1">
        <v>-27.829809999999998</v>
      </c>
    </row>
    <row r="169" spans="1:14" x14ac:dyDescent="0.4">
      <c r="B169" s="1">
        <v>8.5</v>
      </c>
      <c r="C169" s="1" t="s">
        <v>180</v>
      </c>
      <c r="D169" s="3">
        <f t="shared" si="18"/>
        <v>1993.8334279999999</v>
      </c>
      <c r="E169" s="1">
        <v>27.942799999999998</v>
      </c>
      <c r="F169" s="1">
        <v>13.6541</v>
      </c>
      <c r="G169" s="1">
        <v>8.4844000000000008</v>
      </c>
      <c r="H169" s="1">
        <v>10.4451</v>
      </c>
      <c r="I169" s="1">
        <v>44.287799999999997</v>
      </c>
      <c r="J169" s="1">
        <f t="shared" si="14"/>
        <v>43.225973599999996</v>
      </c>
      <c r="K169" s="1">
        <v>2.2347900000000038</v>
      </c>
      <c r="L169" s="1">
        <f t="shared" si="15"/>
        <v>3.6585451685393267</v>
      </c>
      <c r="M169" s="1">
        <v>-227.53111999999999</v>
      </c>
      <c r="N169" s="1">
        <v>-28.484729999999999</v>
      </c>
    </row>
    <row r="170" spans="1:14" x14ac:dyDescent="0.4">
      <c r="B170" s="1">
        <v>8.5500000000000007</v>
      </c>
      <c r="C170" s="1" t="s">
        <v>181</v>
      </c>
      <c r="D170" s="3">
        <f t="shared" si="18"/>
        <v>1993.777873</v>
      </c>
      <c r="E170" s="1">
        <v>45.292200000000001</v>
      </c>
      <c r="F170" s="1">
        <v>11.114599999999999</v>
      </c>
      <c r="G170" s="1">
        <v>10.3</v>
      </c>
      <c r="H170" s="1">
        <v>13.483700000000001</v>
      </c>
      <c r="I170" s="1">
        <v>47.580500000000001</v>
      </c>
      <c r="J170" s="1">
        <f t="shared" si="14"/>
        <v>45.859396400000001</v>
      </c>
      <c r="K170" s="1">
        <v>2.7850999999999999</v>
      </c>
      <c r="L170" s="1">
        <f t="shared" si="15"/>
        <v>19.528494157303371</v>
      </c>
      <c r="M170" s="1">
        <v>-232.28151</v>
      </c>
      <c r="N170" s="1">
        <v>-28.906690000000001</v>
      </c>
    </row>
    <row r="171" spans="1:14" x14ac:dyDescent="0.4">
      <c r="B171" s="1">
        <v>8.6</v>
      </c>
      <c r="C171" s="1" t="s">
        <v>182</v>
      </c>
      <c r="D171" s="3">
        <f t="shared" si="18"/>
        <v>1993.7223179999999</v>
      </c>
      <c r="E171" s="1">
        <v>27.106000000000002</v>
      </c>
      <c r="F171" s="1">
        <v>8.0658999999999992</v>
      </c>
      <c r="G171" s="1">
        <v>4.6444000000000001</v>
      </c>
      <c r="H171" s="1">
        <v>6.9863999999999997</v>
      </c>
      <c r="I171" s="1">
        <v>25.752700000000001</v>
      </c>
      <c r="J171" s="1">
        <f t="shared" si="14"/>
        <v>24.722671999999999</v>
      </c>
      <c r="K171" s="1">
        <v>0.10476999999997361</v>
      </c>
      <c r="L171" s="1">
        <f t="shared" si="15"/>
        <v>13.216858426966294</v>
      </c>
      <c r="M171" s="1">
        <v>-232.47718</v>
      </c>
      <c r="N171" s="1">
        <v>-28.98338</v>
      </c>
    </row>
    <row r="172" spans="1:14" x14ac:dyDescent="0.4">
      <c r="B172" s="1">
        <v>8.65</v>
      </c>
      <c r="C172" s="1" t="s">
        <v>183</v>
      </c>
      <c r="D172" s="3">
        <f t="shared" si="18"/>
        <v>1993.6667629999999</v>
      </c>
      <c r="E172" s="1">
        <v>38.461300000000001</v>
      </c>
      <c r="F172" s="1">
        <v>14.639200000000001</v>
      </c>
      <c r="G172" s="1">
        <v>12.0677</v>
      </c>
      <c r="H172" s="1">
        <v>14.3504</v>
      </c>
      <c r="I172" s="1">
        <v>48.904600000000002</v>
      </c>
      <c r="J172" s="1">
        <f t="shared" si="14"/>
        <v>47.443070599999999</v>
      </c>
      <c r="K172" s="1">
        <v>0.3467200000000048</v>
      </c>
      <c r="L172" s="1">
        <f t="shared" si="15"/>
        <v>11.8078895505618</v>
      </c>
      <c r="M172" s="1">
        <v>-230.82549</v>
      </c>
      <c r="N172" s="1">
        <v>-28.800180000000001</v>
      </c>
    </row>
    <row r="173" spans="1:14" x14ac:dyDescent="0.4">
      <c r="B173" s="1">
        <v>8.6999999999999993</v>
      </c>
      <c r="C173" s="1" t="s">
        <v>184</v>
      </c>
      <c r="D173" s="3">
        <f t="shared" si="18"/>
        <v>1993.6112079999998</v>
      </c>
      <c r="E173" s="1">
        <v>72.059100000000001</v>
      </c>
      <c r="F173" s="1">
        <v>14.171799999999999</v>
      </c>
      <c r="G173" s="1">
        <v>27.077200000000001</v>
      </c>
      <c r="H173" s="1">
        <v>15.4613</v>
      </c>
      <c r="I173" s="1">
        <v>56.9026</v>
      </c>
      <c r="J173" s="1">
        <f t="shared" si="14"/>
        <v>54.164354199999998</v>
      </c>
      <c r="K173" s="1">
        <v>-1.0279899999999884</v>
      </c>
      <c r="L173" s="1">
        <f t="shared" si="15"/>
        <v>41.629687528089889</v>
      </c>
      <c r="M173" s="1">
        <v>-232.40646000000001</v>
      </c>
      <c r="N173" s="1">
        <v>-29.04467</v>
      </c>
    </row>
    <row r="174" spans="1:14" x14ac:dyDescent="0.4">
      <c r="B174" s="1">
        <v>8.75</v>
      </c>
      <c r="C174" s="1" t="s">
        <v>185</v>
      </c>
      <c r="D174" s="3">
        <f t="shared" si="18"/>
        <v>1993.5556529999999</v>
      </c>
      <c r="E174" s="1">
        <v>42.886000000000003</v>
      </c>
      <c r="F174" s="1">
        <v>14.149100000000001</v>
      </c>
      <c r="G174" s="1">
        <v>20.143999999999998</v>
      </c>
      <c r="H174" s="1">
        <v>16.703700000000001</v>
      </c>
      <c r="I174" s="1">
        <v>53.631599999999999</v>
      </c>
      <c r="J174" s="1">
        <f t="shared" si="14"/>
        <v>52.001931999999996</v>
      </c>
      <c r="K174" s="1">
        <v>-0.61014000000000124</v>
      </c>
      <c r="L174" s="1">
        <f t="shared" si="15"/>
        <v>13.671431460674164</v>
      </c>
      <c r="M174" s="1">
        <v>-230.43527</v>
      </c>
      <c r="N174" s="1">
        <v>-29.086829999999999</v>
      </c>
    </row>
    <row r="175" spans="1:14" x14ac:dyDescent="0.4">
      <c r="B175" s="1">
        <v>8.8000000000000007</v>
      </c>
      <c r="C175" s="1" t="s">
        <v>186</v>
      </c>
      <c r="D175" s="3">
        <f t="shared" si="18"/>
        <v>1993.500098</v>
      </c>
      <c r="E175" s="1">
        <v>41.134900000000002</v>
      </c>
      <c r="F175" s="1">
        <v>7.9485999999999999</v>
      </c>
      <c r="G175" s="1">
        <v>5.1980000000000004</v>
      </c>
      <c r="H175" s="1">
        <v>13.2507</v>
      </c>
      <c r="I175" s="1">
        <v>67.773799999999994</v>
      </c>
      <c r="J175" s="1">
        <f t="shared" si="14"/>
        <v>66.210673799999995</v>
      </c>
      <c r="K175" s="1">
        <v>-0.42404999999999404</v>
      </c>
      <c r="L175" s="1">
        <f t="shared" si="15"/>
        <v>3.9378922471910158</v>
      </c>
      <c r="M175" s="1">
        <v>-229.76222999999999</v>
      </c>
      <c r="N175" s="1">
        <v>-29.11083</v>
      </c>
    </row>
    <row r="176" spans="1:14" x14ac:dyDescent="0.4">
      <c r="B176" s="1">
        <v>8.85</v>
      </c>
      <c r="C176" s="1" t="s">
        <v>187</v>
      </c>
      <c r="D176" s="3">
        <f t="shared" si="18"/>
        <v>1993.4445429999998</v>
      </c>
      <c r="E176" s="1">
        <v>98.858000000000004</v>
      </c>
      <c r="F176" s="1">
        <v>21.541599999999999</v>
      </c>
      <c r="G176" s="1">
        <v>18.846399999999999</v>
      </c>
      <c r="H176" s="1">
        <v>31.4968</v>
      </c>
      <c r="I176" s="1">
        <v>115.73569999999999</v>
      </c>
      <c r="J176" s="1">
        <f t="shared" si="14"/>
        <v>111.979096</v>
      </c>
      <c r="K176" s="1">
        <v>-4.9100000000009913E-2</v>
      </c>
      <c r="L176" s="1">
        <f t="shared" si="15"/>
        <v>35.948395505617981</v>
      </c>
      <c r="M176" s="1">
        <v>-232.32149000000001</v>
      </c>
      <c r="N176" s="1">
        <v>-29.484539999999999</v>
      </c>
    </row>
    <row r="177" spans="1:14" x14ac:dyDescent="0.4">
      <c r="B177" s="1">
        <v>8.9</v>
      </c>
      <c r="C177" s="1" t="s">
        <v>188</v>
      </c>
      <c r="D177" s="3">
        <f t="shared" si="18"/>
        <v>1993.3889879999999</v>
      </c>
      <c r="E177" s="1">
        <v>74.141400000000004</v>
      </c>
      <c r="F177" s="1">
        <v>8.8901000000000003</v>
      </c>
      <c r="G177" s="1">
        <v>7.5547000000000004</v>
      </c>
      <c r="H177" s="1">
        <v>15.454800000000001</v>
      </c>
      <c r="I177" s="1">
        <v>51.302</v>
      </c>
      <c r="J177" s="1">
        <f t="shared" si="14"/>
        <v>48.484626800000001</v>
      </c>
      <c r="K177" s="1">
        <v>2.2593699999999899</v>
      </c>
      <c r="L177" s="1">
        <f t="shared" si="15"/>
        <v>46.902845617977533</v>
      </c>
      <c r="M177" s="1">
        <v>-238.52304000000001</v>
      </c>
      <c r="N177" s="1">
        <v>-30.12359</v>
      </c>
    </row>
    <row r="178" spans="1:14" x14ac:dyDescent="0.4">
      <c r="B178" s="1">
        <v>8.9499999999999993</v>
      </c>
      <c r="C178" s="1" t="s">
        <v>189</v>
      </c>
      <c r="D178" s="3">
        <f t="shared" si="18"/>
        <v>1993.3334329999998</v>
      </c>
      <c r="E178" s="1">
        <v>92.29</v>
      </c>
      <c r="F178" s="1">
        <v>11.702400000000001</v>
      </c>
      <c r="G178" s="1">
        <v>15.2043</v>
      </c>
      <c r="H178" s="1">
        <v>32.485999999999997</v>
      </c>
      <c r="I178" s="1">
        <v>80.281300000000002</v>
      </c>
      <c r="J178" s="1">
        <f t="shared" si="14"/>
        <v>76.774280000000005</v>
      </c>
      <c r="K178" s="1">
        <v>3.1244100000000117</v>
      </c>
      <c r="L178" s="1">
        <f t="shared" si="15"/>
        <v>49.158382022471912</v>
      </c>
      <c r="M178" s="1">
        <v>-247.09242</v>
      </c>
      <c r="N178" s="1">
        <v>-31.298159999999999</v>
      </c>
    </row>
    <row r="179" spans="1:14" x14ac:dyDescent="0.4">
      <c r="B179" s="1">
        <v>9</v>
      </c>
      <c r="C179" s="1" t="s">
        <v>190</v>
      </c>
      <c r="D179" s="3">
        <f t="shared" si="18"/>
        <v>1993.2778779999999</v>
      </c>
      <c r="E179" s="1">
        <v>19.076599999999999</v>
      </c>
      <c r="F179" s="1">
        <v>9.5958000000000006</v>
      </c>
      <c r="G179" s="1">
        <v>9.1809999999999992</v>
      </c>
      <c r="H179" s="1">
        <v>6.3509000000000002</v>
      </c>
      <c r="I179" s="1">
        <v>28.329499999999999</v>
      </c>
      <c r="J179" s="1">
        <f t="shared" si="14"/>
        <v>27.604589199999999</v>
      </c>
      <c r="K179" s="1">
        <v>3.5548299999999813</v>
      </c>
      <c r="L179" s="1">
        <f t="shared" si="15"/>
        <v>3.5684038202247184</v>
      </c>
      <c r="M179" s="1">
        <v>-248.72997000000001</v>
      </c>
      <c r="N179" s="1">
        <v>-31.259550000000001</v>
      </c>
    </row>
    <row r="180" spans="1:14" x14ac:dyDescent="0.4">
      <c r="B180" s="1">
        <v>9.0500000000000007</v>
      </c>
      <c r="C180" s="1" t="s">
        <v>191</v>
      </c>
      <c r="D180" s="3">
        <f t="shared" si="18"/>
        <v>1993.222323</v>
      </c>
      <c r="E180" s="1">
        <v>39.281199999999998</v>
      </c>
      <c r="F180" s="1">
        <v>15.023099999999999</v>
      </c>
      <c r="G180" s="1">
        <v>13.919700000000001</v>
      </c>
      <c r="H180" s="1">
        <v>14.7226</v>
      </c>
      <c r="I180" s="1">
        <v>58.689799999999998</v>
      </c>
      <c r="J180" s="1">
        <f t="shared" si="14"/>
        <v>57.197114399999997</v>
      </c>
      <c r="K180" s="1">
        <v>2.4656799999999919</v>
      </c>
      <c r="L180" s="1">
        <f t="shared" si="15"/>
        <v>7.1479896629213471</v>
      </c>
      <c r="M180" s="1">
        <v>-237.42495</v>
      </c>
      <c r="N180" s="1">
        <v>-29.778379999999999</v>
      </c>
    </row>
    <row r="181" spans="1:14" x14ac:dyDescent="0.4">
      <c r="B181" s="1">
        <v>9.1</v>
      </c>
      <c r="C181" s="1" t="s">
        <v>192</v>
      </c>
      <c r="D181" s="3">
        <f t="shared" si="18"/>
        <v>1993.1667679999998</v>
      </c>
      <c r="E181" s="1">
        <v>36.466799999999999</v>
      </c>
      <c r="F181" s="1">
        <v>10.3103</v>
      </c>
      <c r="G181" s="1">
        <v>7.0778999999999996</v>
      </c>
      <c r="H181" s="1">
        <v>10.2826</v>
      </c>
      <c r="I181" s="1">
        <v>36.713200000000001</v>
      </c>
      <c r="J181" s="1">
        <f t="shared" si="14"/>
        <v>35.327461599999999</v>
      </c>
      <c r="K181" s="1">
        <v>3.2928599999999904</v>
      </c>
      <c r="L181" s="1">
        <f t="shared" si="15"/>
        <v>16.619911460674157</v>
      </c>
      <c r="M181" s="1">
        <v>-220.34533999999999</v>
      </c>
      <c r="N181" s="1">
        <v>-27.630199999999999</v>
      </c>
    </row>
    <row r="182" spans="1:14" x14ac:dyDescent="0.4">
      <c r="B182" s="1">
        <v>9.15</v>
      </c>
      <c r="C182" s="1" t="s">
        <v>193</v>
      </c>
      <c r="D182" s="3">
        <f t="shared" si="18"/>
        <v>1993.1112129999999</v>
      </c>
      <c r="E182" s="1">
        <v>34.296799999999998</v>
      </c>
      <c r="F182" s="1">
        <v>15.0297</v>
      </c>
      <c r="G182" s="1">
        <v>15.6746</v>
      </c>
      <c r="H182" s="1">
        <v>24.308599999999998</v>
      </c>
      <c r="I182" s="1">
        <v>109.3745</v>
      </c>
      <c r="J182" s="1">
        <f t="shared" si="14"/>
        <v>108.0712216</v>
      </c>
      <c r="K182" s="1">
        <v>1.346429999999998</v>
      </c>
      <c r="L182" s="1">
        <f t="shared" si="15"/>
        <v>-26.41736943820225</v>
      </c>
      <c r="M182" s="1">
        <v>-207.58715000000001</v>
      </c>
      <c r="N182" s="1">
        <v>-26.414829999999998</v>
      </c>
    </row>
    <row r="183" spans="1:14" x14ac:dyDescent="0.4">
      <c r="B183" s="1">
        <v>9.1999999999999993</v>
      </c>
      <c r="C183" s="1" t="s">
        <v>194</v>
      </c>
      <c r="D183" s="3">
        <f t="shared" si="18"/>
        <v>1993.055658</v>
      </c>
      <c r="E183" s="1">
        <v>18.984000000000002</v>
      </c>
      <c r="F183" s="1">
        <v>11.9756</v>
      </c>
      <c r="G183" s="1">
        <v>5.9579000000000004</v>
      </c>
      <c r="H183" s="1">
        <v>8.2515999999999998</v>
      </c>
      <c r="I183" s="1">
        <v>52.368299999999998</v>
      </c>
      <c r="J183" s="1">
        <f t="shared" si="14"/>
        <v>51.646907999999996</v>
      </c>
      <c r="K183" s="1">
        <v>0.80208999999999264</v>
      </c>
      <c r="L183" s="1">
        <f t="shared" si="15"/>
        <v>-10.031116853932581</v>
      </c>
      <c r="M183" s="1">
        <v>-198.66668999999999</v>
      </c>
      <c r="N183" s="1">
        <v>-25.13861</v>
      </c>
    </row>
    <row r="184" spans="1:14" x14ac:dyDescent="0.4">
      <c r="A184" s="1">
        <v>1993</v>
      </c>
      <c r="B184" s="1">
        <v>9.25</v>
      </c>
      <c r="C184" s="1" t="s">
        <v>195</v>
      </c>
      <c r="D184" s="3">
        <f>-1.66667*B184+2008.416667</f>
        <v>1992.9999694999999</v>
      </c>
      <c r="E184" s="1">
        <v>27.033999999999999</v>
      </c>
      <c r="F184" s="1">
        <v>17.684100000000001</v>
      </c>
      <c r="G184" s="1">
        <v>11.408300000000001</v>
      </c>
      <c r="H184" s="1">
        <v>17.633299999999998</v>
      </c>
      <c r="I184" s="1">
        <v>93.7971</v>
      </c>
      <c r="J184" s="1">
        <f t="shared" si="14"/>
        <v>92.769807999999998</v>
      </c>
      <c r="K184" s="1">
        <v>0.69625999999999522</v>
      </c>
      <c r="L184" s="1">
        <f t="shared" si="15"/>
        <v>-25.083869662921344</v>
      </c>
      <c r="M184" s="1">
        <v>-194.72873000000001</v>
      </c>
      <c r="N184" s="1">
        <v>-24.637450000000001</v>
      </c>
    </row>
    <row r="185" spans="1:14" x14ac:dyDescent="0.4">
      <c r="B185" s="1">
        <v>9.3000000000000007</v>
      </c>
      <c r="C185" s="1" t="s">
        <v>196</v>
      </c>
      <c r="D185" s="3">
        <f t="shared" ref="D185:D195" si="19">-1.66667*B185+2008.416667</f>
        <v>1992.9166359999999</v>
      </c>
      <c r="E185" s="1">
        <v>44.298299999999998</v>
      </c>
      <c r="F185" s="1">
        <v>11.581</v>
      </c>
      <c r="G185" s="1">
        <v>10.7829</v>
      </c>
      <c r="H185" s="1">
        <v>12.7575</v>
      </c>
      <c r="I185" s="1">
        <v>38.584400000000002</v>
      </c>
      <c r="J185" s="1">
        <f t="shared" si="14"/>
        <v>36.901064600000005</v>
      </c>
      <c r="K185" s="1">
        <v>3.7314899999999795</v>
      </c>
      <c r="L185" s="1">
        <f t="shared" si="15"/>
        <v>23.567364831460669</v>
      </c>
      <c r="M185" s="1">
        <v>-197.87299999999999</v>
      </c>
      <c r="N185" s="1">
        <v>-24.763079999999999</v>
      </c>
    </row>
    <row r="186" spans="1:14" x14ac:dyDescent="0.4">
      <c r="B186" s="1">
        <v>9.35</v>
      </c>
      <c r="C186" s="1" t="s">
        <v>197</v>
      </c>
      <c r="D186" s="3">
        <f t="shared" si="19"/>
        <v>1992.8333024999999</v>
      </c>
      <c r="E186" s="1">
        <v>59.912399999999998</v>
      </c>
      <c r="F186" s="1">
        <v>17.3368</v>
      </c>
      <c r="G186" s="1">
        <v>20.808499999999999</v>
      </c>
      <c r="H186" s="1">
        <v>25.069400000000002</v>
      </c>
      <c r="I186" s="1">
        <v>121.70269999999999</v>
      </c>
      <c r="J186" s="1">
        <f t="shared" si="14"/>
        <v>119.4260288</v>
      </c>
      <c r="K186" s="1">
        <v>2.4421900000000107</v>
      </c>
      <c r="L186" s="1">
        <f t="shared" si="15"/>
        <v>-7.1808746067415754</v>
      </c>
      <c r="M186" s="1">
        <v>-209.71439000000001</v>
      </c>
      <c r="N186" s="1">
        <v>-26.28237</v>
      </c>
    </row>
    <row r="187" spans="1:14" x14ac:dyDescent="0.4">
      <c r="B187" s="1">
        <v>9.4</v>
      </c>
      <c r="C187" s="1" t="s">
        <v>198</v>
      </c>
      <c r="D187" s="3">
        <f t="shared" si="19"/>
        <v>1992.749969</v>
      </c>
      <c r="E187" s="1">
        <v>25.371700000000001</v>
      </c>
      <c r="F187" s="1">
        <v>19.010100000000001</v>
      </c>
      <c r="G187" s="1">
        <v>5.3617999999999997</v>
      </c>
      <c r="H187" s="1">
        <v>7.4439000000000002</v>
      </c>
      <c r="I187" s="1">
        <v>30.992799999999999</v>
      </c>
      <c r="J187" s="1">
        <f t="shared" si="14"/>
        <v>30.028675399999997</v>
      </c>
      <c r="K187" s="1">
        <v>2.3708699999999965</v>
      </c>
      <c r="L187" s="1">
        <f t="shared" si="15"/>
        <v>8.5016576404494408</v>
      </c>
      <c r="M187" s="1">
        <v>-224.14225999999999</v>
      </c>
      <c r="N187" s="1">
        <v>-27.866240000000001</v>
      </c>
    </row>
    <row r="188" spans="1:14" x14ac:dyDescent="0.4">
      <c r="B188" s="1">
        <v>9.4499999999999993</v>
      </c>
      <c r="C188" s="1" t="s">
        <v>199</v>
      </c>
      <c r="D188" s="3">
        <f t="shared" si="19"/>
        <v>1992.6666355</v>
      </c>
      <c r="E188" s="1">
        <v>23.730399999999999</v>
      </c>
      <c r="F188" s="1">
        <v>20.163499999999999</v>
      </c>
      <c r="G188" s="1">
        <v>7.6565000000000003</v>
      </c>
      <c r="H188" s="1">
        <v>15.0419</v>
      </c>
      <c r="I188" s="1">
        <v>92.736099999999993</v>
      </c>
      <c r="J188" s="1">
        <f t="shared" si="14"/>
        <v>91.834344799999997</v>
      </c>
      <c r="K188" s="1">
        <v>0.23163999999999874</v>
      </c>
      <c r="L188" s="1">
        <f t="shared" si="15"/>
        <v>-27.861928539325842</v>
      </c>
      <c r="M188" s="1">
        <v>-242.77681999999999</v>
      </c>
      <c r="N188" s="1">
        <v>-29.9955</v>
      </c>
    </row>
    <row r="189" spans="1:14" x14ac:dyDescent="0.4">
      <c r="B189" s="1">
        <v>9.5</v>
      </c>
      <c r="C189" s="1" t="s">
        <v>200</v>
      </c>
      <c r="D189" s="3">
        <f t="shared" si="19"/>
        <v>1992.583302</v>
      </c>
      <c r="E189" s="1">
        <v>178.31909999999999</v>
      </c>
      <c r="F189" s="1">
        <v>52.930999999999997</v>
      </c>
      <c r="G189" s="1">
        <v>100.6421</v>
      </c>
      <c r="H189" s="1">
        <v>15.6083</v>
      </c>
      <c r="I189" s="1">
        <v>70.1096</v>
      </c>
      <c r="J189" s="1">
        <f t="shared" si="14"/>
        <v>63.333474199999998</v>
      </c>
      <c r="K189" s="1">
        <v>0.54456999999999312</v>
      </c>
      <c r="L189" s="1">
        <f t="shared" si="15"/>
        <v>142.73849651685393</v>
      </c>
      <c r="M189" s="1">
        <v>-264.10989000000001</v>
      </c>
      <c r="N189" s="1">
        <v>-32.754739999999998</v>
      </c>
    </row>
    <row r="190" spans="1:14" x14ac:dyDescent="0.4">
      <c r="B190" s="1">
        <v>9.5500000000000007</v>
      </c>
      <c r="C190" s="1" t="s">
        <v>201</v>
      </c>
      <c r="D190" s="3">
        <f t="shared" si="19"/>
        <v>1992.4999685</v>
      </c>
      <c r="E190" s="1">
        <v>181.1498</v>
      </c>
      <c r="F190" s="1">
        <v>14.182600000000001</v>
      </c>
      <c r="G190" s="1">
        <v>15.3688</v>
      </c>
      <c r="H190" s="1">
        <v>53.981999999999999</v>
      </c>
      <c r="I190" s="1">
        <v>196.2808</v>
      </c>
      <c r="J190" s="1">
        <f t="shared" si="14"/>
        <v>189.3971076</v>
      </c>
      <c r="K190" s="1">
        <v>-1.2123399999999833</v>
      </c>
      <c r="L190" s="1">
        <f t="shared" si="15"/>
        <v>74.746930561797754</v>
      </c>
      <c r="M190" s="1">
        <v>-257.50576999999998</v>
      </c>
      <c r="N190" s="1">
        <v>-31.94322</v>
      </c>
    </row>
    <row r="191" spans="1:14" x14ac:dyDescent="0.4">
      <c r="B191" s="1">
        <v>9.6</v>
      </c>
      <c r="C191" s="1" t="s">
        <v>202</v>
      </c>
      <c r="D191" s="3">
        <f t="shared" si="19"/>
        <v>1992.416635</v>
      </c>
      <c r="E191" s="1">
        <v>71.870500000000007</v>
      </c>
      <c r="F191" s="1">
        <v>9.6079000000000008</v>
      </c>
      <c r="G191" s="1">
        <v>12.8231</v>
      </c>
      <c r="H191" s="1">
        <v>24.319099999999999</v>
      </c>
      <c r="I191" s="1">
        <v>59.627000000000002</v>
      </c>
      <c r="J191" s="1">
        <f t="shared" si="14"/>
        <v>56.895921000000001</v>
      </c>
      <c r="K191" s="1">
        <v>-2.8128199999999879</v>
      </c>
      <c r="L191" s="1">
        <f t="shared" si="15"/>
        <v>39.906499438202253</v>
      </c>
      <c r="M191" s="1">
        <v>-262.44889999999998</v>
      </c>
      <c r="N191" s="1">
        <v>-32.919029999999999</v>
      </c>
    </row>
    <row r="192" spans="1:14" x14ac:dyDescent="0.4">
      <c r="B192" s="1">
        <v>9.65</v>
      </c>
      <c r="C192" s="1" t="s">
        <v>203</v>
      </c>
      <c r="D192" s="3">
        <f t="shared" si="19"/>
        <v>1992.3333015000001</v>
      </c>
      <c r="E192" s="1">
        <v>124.68559999999999</v>
      </c>
      <c r="F192" s="1">
        <v>12.6557</v>
      </c>
      <c r="G192" s="1">
        <v>12.709</v>
      </c>
      <c r="H192" s="1">
        <v>46.8812</v>
      </c>
      <c r="I192" s="1">
        <v>181.90100000000001</v>
      </c>
      <c r="J192" s="1">
        <f t="shared" si="14"/>
        <v>177.16294720000002</v>
      </c>
      <c r="K192" s="1">
        <v>-2.0719700000000216</v>
      </c>
      <c r="L192" s="1">
        <f t="shared" si="15"/>
        <v>25.155854382022454</v>
      </c>
      <c r="M192" s="1">
        <v>-252.78715</v>
      </c>
      <c r="N192" s="1">
        <v>-31.862030000000001</v>
      </c>
    </row>
    <row r="193" spans="1:14" x14ac:dyDescent="0.4">
      <c r="B193" s="1">
        <v>9.6999999999999993</v>
      </c>
      <c r="C193" s="1" t="s">
        <v>204</v>
      </c>
      <c r="D193" s="3">
        <f t="shared" si="19"/>
        <v>1992.2499679999999</v>
      </c>
      <c r="E193" s="1">
        <v>100.0664</v>
      </c>
      <c r="F193" s="1">
        <v>15.4895</v>
      </c>
      <c r="G193" s="1">
        <v>10.970700000000001</v>
      </c>
      <c r="H193" s="1">
        <v>27.3565</v>
      </c>
      <c r="I193" s="1">
        <v>61.312199999999997</v>
      </c>
      <c r="J193" s="1">
        <f t="shared" si="14"/>
        <v>57.509676799999994</v>
      </c>
      <c r="K193" s="1">
        <v>-1.9600099999999827</v>
      </c>
      <c r="L193" s="1">
        <f t="shared" si="15"/>
        <v>67.757592808988761</v>
      </c>
      <c r="M193" s="1">
        <v>-234.45375000000001</v>
      </c>
      <c r="N193" s="1">
        <v>-30.062069999999999</v>
      </c>
    </row>
    <row r="194" spans="1:14" x14ac:dyDescent="0.4">
      <c r="B194" s="1">
        <v>9.75</v>
      </c>
      <c r="C194" s="1" t="s">
        <v>205</v>
      </c>
      <c r="D194" s="3">
        <f t="shared" si="19"/>
        <v>1992.1666344999999</v>
      </c>
      <c r="E194" s="1">
        <v>204.87129999999999</v>
      </c>
      <c r="F194" s="1">
        <v>8.5327999999999999</v>
      </c>
      <c r="G194" s="1">
        <v>13.290800000000001</v>
      </c>
      <c r="H194" s="1">
        <v>45.831800000000001</v>
      </c>
      <c r="I194" s="1">
        <v>168.0686</v>
      </c>
      <c r="J194" s="1">
        <f t="shared" si="14"/>
        <v>160.28349059999999</v>
      </c>
      <c r="K194" s="1">
        <v>0.90334000000001424</v>
      </c>
      <c r="L194" s="1">
        <f t="shared" si="15"/>
        <v>114.82439516853933</v>
      </c>
      <c r="M194" s="1">
        <v>-223.89556999999999</v>
      </c>
      <c r="N194" s="1">
        <v>-28.830909999999999</v>
      </c>
    </row>
    <row r="195" spans="1:14" x14ac:dyDescent="0.4">
      <c r="B195" s="1">
        <v>9.8000000000000007</v>
      </c>
      <c r="C195" s="1" t="s">
        <v>206</v>
      </c>
      <c r="D195" s="3">
        <f t="shared" si="19"/>
        <v>1992.0833009999999</v>
      </c>
      <c r="E195" s="1">
        <v>39.019500000000001</v>
      </c>
      <c r="F195" s="1">
        <v>9.8857999999999997</v>
      </c>
      <c r="G195" s="1">
        <v>7.3132999999999999</v>
      </c>
      <c r="H195" s="1">
        <v>19.021999999999998</v>
      </c>
      <c r="I195" s="1">
        <v>77.099999999999994</v>
      </c>
      <c r="J195" s="1">
        <f t="shared" ref="J195:J258" si="20">I195-0.038*E195</f>
        <v>75.61725899999999</v>
      </c>
      <c r="K195" s="1">
        <v>2.109090000000009</v>
      </c>
      <c r="L195" s="1">
        <f t="shared" ref="L195:L258" si="21">E195-(J195/1.78)</f>
        <v>-3.4621061797752759</v>
      </c>
      <c r="M195" s="1">
        <v>-216.81461999999999</v>
      </c>
      <c r="N195" s="1">
        <v>-28.168150000000001</v>
      </c>
    </row>
    <row r="196" spans="1:14" x14ac:dyDescent="0.4">
      <c r="A196" s="1">
        <v>1992</v>
      </c>
      <c r="B196" s="1">
        <v>9.85</v>
      </c>
      <c r="C196" s="1" t="s">
        <v>207</v>
      </c>
      <c r="D196" s="3">
        <f>-2*B196+2011.7</f>
        <v>1992</v>
      </c>
      <c r="E196" s="1">
        <v>13.592599999999999</v>
      </c>
      <c r="F196" s="1">
        <v>48.255899999999997</v>
      </c>
      <c r="G196" s="1">
        <v>9.5797000000000008</v>
      </c>
      <c r="H196" s="1">
        <v>19.438800000000001</v>
      </c>
      <c r="I196" s="1">
        <v>129.2595</v>
      </c>
      <c r="J196" s="1">
        <f t="shared" si="20"/>
        <v>128.7429812</v>
      </c>
      <c r="K196" s="1">
        <v>6.0428099999999745</v>
      </c>
      <c r="L196" s="1">
        <f t="shared" si="21"/>
        <v>-58.734917528089888</v>
      </c>
      <c r="M196" s="1">
        <v>-215.51862</v>
      </c>
      <c r="N196" s="1">
        <v>-28.068709999999999</v>
      </c>
    </row>
    <row r="197" spans="1:14" x14ac:dyDescent="0.4">
      <c r="B197" s="1">
        <v>9.9</v>
      </c>
      <c r="C197" s="1" t="s">
        <v>208</v>
      </c>
      <c r="D197" s="3">
        <f t="shared" ref="D197:D205" si="22">-2*B197+2011.7</f>
        <v>1991.9</v>
      </c>
      <c r="E197" s="1">
        <v>22.863299999999999</v>
      </c>
      <c r="F197" s="1">
        <v>29.0047</v>
      </c>
      <c r="G197" s="1">
        <v>11.5068</v>
      </c>
      <c r="H197" s="1">
        <v>7.7568000000000001</v>
      </c>
      <c r="I197" s="1">
        <v>67.7303</v>
      </c>
      <c r="J197" s="1">
        <f t="shared" si="20"/>
        <v>66.8614946</v>
      </c>
      <c r="K197" s="1">
        <v>6.7517100000000028</v>
      </c>
      <c r="L197" s="1">
        <f t="shared" si="21"/>
        <v>-14.699337415730337</v>
      </c>
      <c r="M197" s="1">
        <v>-218.11274</v>
      </c>
      <c r="N197" s="1">
        <v>-28.37107</v>
      </c>
    </row>
    <row r="198" spans="1:14" x14ac:dyDescent="0.4">
      <c r="B198" s="1">
        <v>9.9499999999999993</v>
      </c>
      <c r="C198" s="1" t="s">
        <v>209</v>
      </c>
      <c r="D198" s="3">
        <f t="shared" si="22"/>
        <v>1991.8</v>
      </c>
      <c r="E198" s="1">
        <v>13.3811</v>
      </c>
      <c r="F198" s="1">
        <v>9.0319000000000003</v>
      </c>
      <c r="G198" s="1">
        <v>5.9598000000000004</v>
      </c>
      <c r="H198" s="1">
        <v>18.445799999999998</v>
      </c>
      <c r="I198" s="1">
        <v>247.98769999999999</v>
      </c>
      <c r="J198" s="1">
        <f t="shared" si="20"/>
        <v>247.47921819999999</v>
      </c>
      <c r="K198" s="1">
        <v>8.5305800000000147</v>
      </c>
      <c r="L198" s="1">
        <f t="shared" si="21"/>
        <v>-125.65216865168537</v>
      </c>
      <c r="M198" s="1">
        <v>-225.10489999999999</v>
      </c>
      <c r="N198" s="1">
        <v>-28.860299999999999</v>
      </c>
    </row>
    <row r="199" spans="1:14" x14ac:dyDescent="0.4">
      <c r="B199" s="1">
        <v>10</v>
      </c>
      <c r="C199" s="1" t="s">
        <v>210</v>
      </c>
      <c r="D199" s="3">
        <f t="shared" si="22"/>
        <v>1991.7</v>
      </c>
      <c r="E199" s="1">
        <v>17.315100000000001</v>
      </c>
      <c r="F199" s="1">
        <v>12.0778</v>
      </c>
      <c r="G199" s="1">
        <v>15.210800000000001</v>
      </c>
      <c r="H199" s="1">
        <v>6.1757999999999997</v>
      </c>
      <c r="I199" s="1">
        <v>47.449300000000001</v>
      </c>
      <c r="J199" s="1">
        <f t="shared" si="20"/>
        <v>46.7913262</v>
      </c>
      <c r="K199" s="1">
        <v>9.0310599999999965</v>
      </c>
      <c r="L199" s="1">
        <f t="shared" si="21"/>
        <v>-8.9721619101123586</v>
      </c>
      <c r="M199" s="1">
        <v>-234.38437999999999</v>
      </c>
      <c r="N199" s="1">
        <v>-29.462510000000002</v>
      </c>
    </row>
    <row r="200" spans="1:14" x14ac:dyDescent="0.4">
      <c r="B200" s="1">
        <v>10.050000000000001</v>
      </c>
      <c r="C200" s="1" t="s">
        <v>211</v>
      </c>
      <c r="D200" s="3">
        <f t="shared" si="22"/>
        <v>1991.6000000000001</v>
      </c>
      <c r="E200" s="1">
        <v>34.119799999999998</v>
      </c>
      <c r="F200" s="1">
        <v>14.7112</v>
      </c>
      <c r="G200" s="1">
        <v>14.329800000000001</v>
      </c>
      <c r="H200" s="1">
        <v>36.819000000000003</v>
      </c>
      <c r="I200" s="1">
        <v>205.93860000000001</v>
      </c>
      <c r="J200" s="1">
        <f t="shared" si="20"/>
        <v>204.64204760000001</v>
      </c>
      <c r="K200" s="1">
        <v>8.8558199999999943</v>
      </c>
      <c r="L200" s="1">
        <f t="shared" si="21"/>
        <v>-80.84764247191012</v>
      </c>
      <c r="M200" s="1">
        <v>-239.42447000000001</v>
      </c>
      <c r="N200" s="1">
        <v>-29.91591</v>
      </c>
    </row>
    <row r="201" spans="1:14" x14ac:dyDescent="0.4">
      <c r="B201" s="1">
        <v>10.1</v>
      </c>
      <c r="C201" s="1" t="s">
        <v>212</v>
      </c>
      <c r="D201" s="3">
        <f t="shared" si="22"/>
        <v>1991.5</v>
      </c>
      <c r="E201" s="1">
        <v>55.974400000000003</v>
      </c>
      <c r="F201" s="1">
        <v>13.5573</v>
      </c>
      <c r="G201" s="1">
        <v>6.2484999999999999</v>
      </c>
      <c r="H201" s="1">
        <v>16.995000000000001</v>
      </c>
      <c r="I201" s="1">
        <v>36.139200000000002</v>
      </c>
      <c r="J201" s="1">
        <f t="shared" si="20"/>
        <v>34.012172800000002</v>
      </c>
      <c r="K201" s="1">
        <v>5.7774999999999999</v>
      </c>
      <c r="L201" s="1">
        <f t="shared" si="21"/>
        <v>36.866437752808991</v>
      </c>
      <c r="M201" s="1">
        <v>-245.49691000000001</v>
      </c>
      <c r="N201" s="1">
        <v>-30.78735</v>
      </c>
    </row>
    <row r="202" spans="1:14" x14ac:dyDescent="0.4">
      <c r="B202" s="1">
        <v>10.15</v>
      </c>
      <c r="C202" s="1" t="s">
        <v>213</v>
      </c>
      <c r="D202" s="3">
        <f t="shared" si="22"/>
        <v>1991.4</v>
      </c>
      <c r="E202" s="1">
        <v>89.082400000000007</v>
      </c>
      <c r="F202" s="1">
        <v>18.224699999999999</v>
      </c>
      <c r="G202" s="1">
        <v>33.051400000000001</v>
      </c>
      <c r="H202" s="1">
        <v>16.537800000000001</v>
      </c>
      <c r="I202" s="1">
        <v>103.33280000000001</v>
      </c>
      <c r="J202" s="1">
        <f t="shared" si="20"/>
        <v>99.947668800000002</v>
      </c>
      <c r="K202" s="1">
        <v>1.315700000000021</v>
      </c>
      <c r="L202" s="1">
        <f t="shared" si="21"/>
        <v>32.932024269662925</v>
      </c>
      <c r="M202" s="1">
        <v>-247.78133</v>
      </c>
      <c r="N202" s="1">
        <v>-31.092009999999998</v>
      </c>
    </row>
    <row r="203" spans="1:14" x14ac:dyDescent="0.4">
      <c r="B203" s="1">
        <v>10.199999999999999</v>
      </c>
      <c r="C203" s="1" t="s">
        <v>214</v>
      </c>
      <c r="D203" s="3">
        <f t="shared" si="22"/>
        <v>1991.3</v>
      </c>
      <c r="E203" s="1">
        <v>28.007000000000001</v>
      </c>
      <c r="F203" s="1">
        <v>15.5951</v>
      </c>
      <c r="G203" s="1">
        <v>7.2004000000000001</v>
      </c>
      <c r="H203" s="1">
        <v>10.170199999999999</v>
      </c>
      <c r="I203" s="1">
        <v>39.956800000000001</v>
      </c>
      <c r="J203" s="1">
        <f t="shared" si="20"/>
        <v>38.892533999999998</v>
      </c>
      <c r="K203" s="1">
        <v>-9.7190000000011878E-2</v>
      </c>
      <c r="L203" s="1">
        <f t="shared" si="21"/>
        <v>6.1572617977528132</v>
      </c>
      <c r="M203" s="1">
        <v>-252.12342000000001</v>
      </c>
      <c r="N203" s="1">
        <v>-31.354019999999998</v>
      </c>
    </row>
    <row r="204" spans="1:14" x14ac:dyDescent="0.4">
      <c r="B204" s="1">
        <v>10.25</v>
      </c>
      <c r="C204" s="1" t="s">
        <v>215</v>
      </c>
      <c r="D204" s="3">
        <f t="shared" si="22"/>
        <v>1991.2</v>
      </c>
      <c r="E204" s="1">
        <v>67.993399999999994</v>
      </c>
      <c r="F204" s="1">
        <v>23.048400000000001</v>
      </c>
      <c r="G204" s="1">
        <v>41.296999999999997</v>
      </c>
      <c r="H204" s="1">
        <v>13.6288</v>
      </c>
      <c r="I204" s="1">
        <v>107.7163</v>
      </c>
      <c r="J204" s="1">
        <f t="shared" si="20"/>
        <v>105.1325508</v>
      </c>
      <c r="K204" s="1">
        <v>0.801889999999986</v>
      </c>
      <c r="L204" s="1">
        <f t="shared" si="21"/>
        <v>8.9301692134831399</v>
      </c>
      <c r="M204" s="1">
        <v>-248.17529999999999</v>
      </c>
      <c r="N204" s="1">
        <v>-30.88364</v>
      </c>
    </row>
    <row r="205" spans="1:14" x14ac:dyDescent="0.4">
      <c r="B205" s="1">
        <v>10.3</v>
      </c>
      <c r="C205" s="1" t="s">
        <v>216</v>
      </c>
      <c r="D205" s="3">
        <f t="shared" si="22"/>
        <v>1991.1000000000001</v>
      </c>
      <c r="E205" s="1">
        <v>62.651800000000001</v>
      </c>
      <c r="F205" s="1">
        <v>9.4297000000000004</v>
      </c>
      <c r="G205" s="1">
        <v>30.360900000000001</v>
      </c>
      <c r="H205" s="1">
        <v>13.152900000000001</v>
      </c>
      <c r="I205" s="1">
        <v>47.7012</v>
      </c>
      <c r="J205" s="1">
        <f t="shared" si="20"/>
        <v>45.320431599999999</v>
      </c>
      <c r="K205" s="1">
        <v>0.95474999999999</v>
      </c>
      <c r="L205" s="1">
        <f t="shared" si="21"/>
        <v>37.190883370786523</v>
      </c>
      <c r="M205" s="1">
        <v>-245.2379</v>
      </c>
      <c r="N205" s="1">
        <v>-30.651340000000001</v>
      </c>
    </row>
    <row r="206" spans="1:14" x14ac:dyDescent="0.4">
      <c r="A206" s="1">
        <v>1991</v>
      </c>
      <c r="B206" s="1">
        <v>10.35</v>
      </c>
      <c r="C206" s="1" t="s">
        <v>217</v>
      </c>
      <c r="D206" s="3">
        <f>-2*B206+2011.7</f>
        <v>1991</v>
      </c>
      <c r="E206" s="1">
        <v>93.410499999999999</v>
      </c>
      <c r="F206" s="1">
        <v>39.032699999999998</v>
      </c>
      <c r="G206" s="1">
        <v>64.694599999999994</v>
      </c>
      <c r="H206" s="1">
        <v>33.505699999999997</v>
      </c>
      <c r="I206" s="1">
        <v>334.4325</v>
      </c>
      <c r="J206" s="1">
        <f t="shared" si="20"/>
        <v>330.882901</v>
      </c>
      <c r="K206" s="1">
        <v>-1.2912600000000225</v>
      </c>
      <c r="L206" s="1">
        <f t="shared" si="21"/>
        <v>-92.478770224719099</v>
      </c>
      <c r="M206" s="1">
        <v>-226.21378999999999</v>
      </c>
      <c r="N206" s="1">
        <v>-28.48188</v>
      </c>
    </row>
    <row r="207" spans="1:14" x14ac:dyDescent="0.4">
      <c r="B207" s="1">
        <v>10.4</v>
      </c>
      <c r="C207" s="1" t="s">
        <v>218</v>
      </c>
      <c r="D207" s="3">
        <f t="shared" ref="D207:D217" si="23">-2*B207+2011.7</f>
        <v>1990.9</v>
      </c>
      <c r="E207" s="1">
        <v>48.851900000000001</v>
      </c>
      <c r="F207" s="1">
        <v>10.2097</v>
      </c>
      <c r="G207" s="1">
        <v>17.024999999999999</v>
      </c>
      <c r="H207" s="1">
        <v>15.7464</v>
      </c>
      <c r="I207" s="1">
        <v>63.406199999999998</v>
      </c>
      <c r="J207" s="1">
        <f t="shared" si="20"/>
        <v>61.549827799999996</v>
      </c>
      <c r="K207" s="1">
        <v>-1.1061799999999948</v>
      </c>
      <c r="L207" s="1">
        <f t="shared" si="21"/>
        <v>14.273345056179778</v>
      </c>
      <c r="M207" s="1">
        <v>-229.81549000000001</v>
      </c>
      <c r="N207" s="1">
        <v>-28.709379999999999</v>
      </c>
    </row>
    <row r="208" spans="1:14" x14ac:dyDescent="0.4">
      <c r="B208" s="1">
        <v>10.55</v>
      </c>
      <c r="C208" s="1" t="s">
        <v>219</v>
      </c>
      <c r="D208" s="3">
        <f t="shared" si="23"/>
        <v>1990.6000000000001</v>
      </c>
      <c r="E208" s="1">
        <v>67.421400000000006</v>
      </c>
      <c r="F208" s="1">
        <v>21.203299999999999</v>
      </c>
      <c r="G208" s="1">
        <v>15.4499</v>
      </c>
      <c r="H208" s="1">
        <v>26.877300000000002</v>
      </c>
      <c r="I208" s="1">
        <v>224.642</v>
      </c>
      <c r="J208" s="1">
        <f t="shared" si="20"/>
        <v>222.0799868</v>
      </c>
      <c r="K208" s="1">
        <v>-2.7179999999987103E-2</v>
      </c>
      <c r="L208" s="1">
        <f t="shared" si="21"/>
        <v>-57.342637528089881</v>
      </c>
      <c r="M208" s="1">
        <v>-241.30976000000001</v>
      </c>
      <c r="N208" s="1">
        <v>-30.439330000000002</v>
      </c>
    </row>
    <row r="209" spans="1:14" x14ac:dyDescent="0.4">
      <c r="B209" s="1">
        <v>10.6</v>
      </c>
      <c r="C209" s="1" t="s">
        <v>220</v>
      </c>
      <c r="D209" s="3">
        <f t="shared" si="23"/>
        <v>1990.5</v>
      </c>
      <c r="E209" s="1">
        <v>65.569199999999995</v>
      </c>
      <c r="F209" s="1">
        <v>12.376300000000001</v>
      </c>
      <c r="G209" s="1">
        <v>21.166499999999999</v>
      </c>
      <c r="H209" s="1">
        <v>21.899100000000001</v>
      </c>
      <c r="I209" s="1">
        <v>91.861500000000007</v>
      </c>
      <c r="J209" s="1">
        <f t="shared" si="20"/>
        <v>89.369870400000011</v>
      </c>
      <c r="K209" s="1">
        <v>1.6412500000000136</v>
      </c>
      <c r="L209" s="1">
        <f t="shared" si="21"/>
        <v>15.361407640449428</v>
      </c>
      <c r="M209" s="1">
        <v>-245.09591</v>
      </c>
      <c r="N209" s="1">
        <v>-30.769600000000001</v>
      </c>
    </row>
    <row r="210" spans="1:14" x14ac:dyDescent="0.4">
      <c r="B210" s="1">
        <v>10.65</v>
      </c>
      <c r="C210" s="1" t="s">
        <v>221</v>
      </c>
      <c r="D210" s="3">
        <f t="shared" si="23"/>
        <v>1990.4</v>
      </c>
      <c r="E210" s="1">
        <v>25.777699999999999</v>
      </c>
      <c r="F210" s="1">
        <v>11.178900000000001</v>
      </c>
      <c r="G210" s="1">
        <v>3.9908999999999999</v>
      </c>
      <c r="H210" s="1">
        <v>15.468400000000001</v>
      </c>
      <c r="I210" s="1">
        <v>107.3749</v>
      </c>
      <c r="J210" s="1">
        <f t="shared" si="20"/>
        <v>106.39534739999999</v>
      </c>
      <c r="K210" s="1">
        <v>-0.14045000000001551</v>
      </c>
      <c r="L210" s="1">
        <f t="shared" si="21"/>
        <v>-33.994967078651683</v>
      </c>
      <c r="M210" s="1">
        <v>-252.14357999999999</v>
      </c>
      <c r="N210" s="1">
        <v>-31.65401</v>
      </c>
    </row>
    <row r="211" spans="1:14" x14ac:dyDescent="0.4">
      <c r="B211" s="1">
        <v>10.7</v>
      </c>
      <c r="C211" s="1" t="s">
        <v>222</v>
      </c>
      <c r="D211" s="3">
        <f t="shared" si="23"/>
        <v>1990.3</v>
      </c>
      <c r="E211" s="1">
        <v>13.939500000000001</v>
      </c>
      <c r="F211" s="1">
        <v>6.1696999999999997</v>
      </c>
      <c r="G211" s="1">
        <v>2.9174000000000002</v>
      </c>
      <c r="H211" s="1">
        <v>8.5228999999999999</v>
      </c>
      <c r="I211" s="1">
        <v>79.660600000000002</v>
      </c>
      <c r="J211" s="1">
        <f t="shared" si="20"/>
        <v>79.130898999999999</v>
      </c>
      <c r="K211" s="1">
        <v>2.2048800000000028</v>
      </c>
      <c r="L211" s="1">
        <f t="shared" si="21"/>
        <v>-30.51606123595505</v>
      </c>
      <c r="M211" s="4">
        <v>-254.92090999999999</v>
      </c>
      <c r="N211" s="4">
        <v>-31.919650000000001</v>
      </c>
    </row>
    <row r="212" spans="1:14" x14ac:dyDescent="0.4">
      <c r="B212" s="1">
        <v>10.75</v>
      </c>
      <c r="C212" s="1" t="s">
        <v>223</v>
      </c>
      <c r="D212" s="3">
        <f t="shared" si="23"/>
        <v>1990.2</v>
      </c>
      <c r="E212" s="1">
        <v>19.240100000000002</v>
      </c>
      <c r="F212" s="1">
        <v>15.8157</v>
      </c>
      <c r="G212" s="1">
        <v>9.0160999999999998</v>
      </c>
      <c r="H212" s="1">
        <v>19.717300000000002</v>
      </c>
      <c r="I212" s="1">
        <v>156.3989</v>
      </c>
      <c r="J212" s="1">
        <f t="shared" si="20"/>
        <v>155.66777619999999</v>
      </c>
      <c r="K212" s="1">
        <v>1.0608900000000006</v>
      </c>
      <c r="L212" s="1">
        <f t="shared" si="21"/>
        <v>-68.213706853932578</v>
      </c>
      <c r="M212" s="1">
        <v>-257.30335000000002</v>
      </c>
      <c r="N212" s="1">
        <v>-32.115780000000001</v>
      </c>
    </row>
    <row r="213" spans="1:14" x14ac:dyDescent="0.4">
      <c r="B213" s="1">
        <v>10.8</v>
      </c>
      <c r="C213" s="1" t="s">
        <v>224</v>
      </c>
      <c r="D213" s="3">
        <f t="shared" si="23"/>
        <v>1990.1000000000001</v>
      </c>
      <c r="E213" s="1">
        <v>28.35</v>
      </c>
      <c r="F213" s="1">
        <v>7.2016999999999998</v>
      </c>
      <c r="G213" s="1">
        <v>2.6646999999999998</v>
      </c>
      <c r="H213" s="1">
        <v>12.4274</v>
      </c>
      <c r="I213" s="1">
        <v>54.619199999999999</v>
      </c>
      <c r="J213" s="1">
        <f t="shared" si="20"/>
        <v>53.541899999999998</v>
      </c>
      <c r="K213" s="1">
        <v>1.0885000000000105</v>
      </c>
      <c r="L213" s="1">
        <f t="shared" si="21"/>
        <v>-1.7297191011235924</v>
      </c>
      <c r="M213" s="1">
        <v>-257.38754</v>
      </c>
      <c r="N213" s="1">
        <v>-32.129249999999999</v>
      </c>
    </row>
    <row r="214" spans="1:14" x14ac:dyDescent="0.4">
      <c r="B214" s="1">
        <v>10.85</v>
      </c>
      <c r="C214" s="1" t="s">
        <v>225</v>
      </c>
      <c r="D214" s="3">
        <f t="shared" si="23"/>
        <v>1990</v>
      </c>
      <c r="E214" s="1">
        <v>8.8312000000000008</v>
      </c>
      <c r="F214" s="1">
        <v>4.5849000000000002</v>
      </c>
      <c r="G214" s="1">
        <v>3.8351000000000002</v>
      </c>
      <c r="H214" s="1">
        <v>12.5962</v>
      </c>
      <c r="I214" s="1">
        <v>58.881599999999999</v>
      </c>
      <c r="J214" s="1">
        <f t="shared" si="20"/>
        <v>58.546014399999997</v>
      </c>
      <c r="K214" s="1">
        <v>0.43629000000001383</v>
      </c>
      <c r="L214" s="1">
        <f t="shared" si="21"/>
        <v>-24.059819325842689</v>
      </c>
      <c r="M214" s="1">
        <v>-252.75111999999999</v>
      </c>
      <c r="N214" s="1">
        <v>-31.57226</v>
      </c>
    </row>
    <row r="215" spans="1:14" x14ac:dyDescent="0.4">
      <c r="B215" s="1">
        <v>10.9</v>
      </c>
      <c r="C215" s="1" t="s">
        <v>226</v>
      </c>
      <c r="D215" s="3">
        <f t="shared" si="23"/>
        <v>1989.9</v>
      </c>
      <c r="E215" s="1">
        <v>24.2593</v>
      </c>
      <c r="F215" s="1">
        <v>5.3414999999999999</v>
      </c>
      <c r="G215" s="1">
        <v>4.4955999999999996</v>
      </c>
      <c r="H215" s="1">
        <v>12.341200000000001</v>
      </c>
      <c r="I215" s="1">
        <v>45.109200000000001</v>
      </c>
      <c r="J215" s="1">
        <f t="shared" si="20"/>
        <v>44.187346599999998</v>
      </c>
      <c r="K215" s="1">
        <v>-0.37711000000001604</v>
      </c>
      <c r="L215" s="1">
        <f t="shared" si="21"/>
        <v>-0.56505202247191022</v>
      </c>
      <c r="M215" s="1">
        <v>-249.20168000000001</v>
      </c>
      <c r="N215" s="1">
        <v>-31.07911</v>
      </c>
    </row>
    <row r="216" spans="1:14" x14ac:dyDescent="0.4">
      <c r="B216" s="1">
        <v>10.95</v>
      </c>
      <c r="C216" s="1" t="s">
        <v>227</v>
      </c>
      <c r="D216" s="3">
        <f t="shared" si="23"/>
        <v>1989.8</v>
      </c>
      <c r="E216" s="1">
        <v>47.945700000000002</v>
      </c>
      <c r="F216" s="1">
        <v>17.113399999999999</v>
      </c>
      <c r="G216" s="1">
        <v>6.1218000000000004</v>
      </c>
      <c r="H216" s="1">
        <v>30.228000000000002</v>
      </c>
      <c r="I216" s="1">
        <v>194.1936</v>
      </c>
      <c r="J216" s="1">
        <f t="shared" si="20"/>
        <v>192.37166340000002</v>
      </c>
      <c r="K216" s="1">
        <v>-0.35354000000000951</v>
      </c>
      <c r="L216" s="1">
        <f t="shared" si="21"/>
        <v>-60.128268202247199</v>
      </c>
      <c r="M216" s="1">
        <v>-246.42613</v>
      </c>
      <c r="N216" s="1">
        <v>-30.914149999999999</v>
      </c>
    </row>
    <row r="217" spans="1:14" x14ac:dyDescent="0.4">
      <c r="B217" s="1">
        <v>11</v>
      </c>
      <c r="C217" s="1" t="s">
        <v>228</v>
      </c>
      <c r="D217" s="3">
        <f t="shared" si="23"/>
        <v>1989.7</v>
      </c>
      <c r="E217" s="1">
        <v>39.817700000000002</v>
      </c>
      <c r="F217" s="1">
        <v>9.3733000000000004</v>
      </c>
      <c r="G217" s="1">
        <v>9.2143999999999995</v>
      </c>
      <c r="H217" s="1">
        <v>20.004300000000001</v>
      </c>
      <c r="I217" s="1">
        <v>79.089399999999998</v>
      </c>
      <c r="J217" s="1">
        <f t="shared" si="20"/>
        <v>77.576327399999997</v>
      </c>
      <c r="K217" s="1">
        <v>-0.17303999999998609</v>
      </c>
      <c r="L217" s="1">
        <f t="shared" si="21"/>
        <v>-3.7645064044943766</v>
      </c>
      <c r="M217" s="1">
        <v>-238.42945</v>
      </c>
      <c r="N217" s="1">
        <v>-29.918420000000001</v>
      </c>
    </row>
    <row r="218" spans="1:14" x14ac:dyDescent="0.4">
      <c r="A218" s="1">
        <v>1990</v>
      </c>
      <c r="B218" s="1">
        <v>11.05</v>
      </c>
      <c r="C218" s="1" t="s">
        <v>229</v>
      </c>
      <c r="D218" s="3">
        <f>-1.538462*B218+2007</f>
        <v>1989.9999949</v>
      </c>
      <c r="E218" s="1">
        <v>54.526299999999999</v>
      </c>
      <c r="F218" s="1">
        <v>17.549499999999998</v>
      </c>
      <c r="G218" s="1">
        <v>18.526499999999999</v>
      </c>
      <c r="H218" s="1">
        <v>30.053000000000001</v>
      </c>
      <c r="I218" s="1">
        <v>194.19</v>
      </c>
      <c r="J218" s="1">
        <f t="shared" si="20"/>
        <v>192.11800059999999</v>
      </c>
      <c r="K218" s="1">
        <v>-0.56880000000001019</v>
      </c>
      <c r="L218" s="1">
        <f t="shared" si="21"/>
        <v>-53.405161011235954</v>
      </c>
      <c r="M218" s="1">
        <v>-239.77775</v>
      </c>
      <c r="N218" s="1">
        <v>-29.924849999999999</v>
      </c>
    </row>
    <row r="219" spans="1:14" x14ac:dyDescent="0.4">
      <c r="B219" s="1">
        <v>11.1</v>
      </c>
      <c r="C219" s="1" t="s">
        <v>230</v>
      </c>
      <c r="D219" s="3">
        <f t="shared" ref="D219:D230" si="24">-1.538462*B219+2007</f>
        <v>1989.9230717999999</v>
      </c>
      <c r="E219" s="1">
        <v>22.919699999999999</v>
      </c>
      <c r="F219" s="1">
        <v>12.731999999999999</v>
      </c>
      <c r="G219" s="1">
        <v>2.2323</v>
      </c>
      <c r="H219" s="1">
        <v>8.9078999999999997</v>
      </c>
      <c r="I219" s="1">
        <v>49.360399999999998</v>
      </c>
      <c r="J219" s="1">
        <f t="shared" si="20"/>
        <v>48.4894514</v>
      </c>
      <c r="K219" s="1">
        <v>0.88706999999999425</v>
      </c>
      <c r="L219" s="1">
        <f t="shared" si="21"/>
        <v>-4.3215648314606767</v>
      </c>
      <c r="M219" s="1">
        <v>-242.81567000000001</v>
      </c>
      <c r="N219" s="1">
        <v>-30.704719999999998</v>
      </c>
    </row>
    <row r="220" spans="1:14" x14ac:dyDescent="0.4">
      <c r="B220" s="1">
        <v>11.15</v>
      </c>
      <c r="C220" s="1" t="s">
        <v>231</v>
      </c>
      <c r="D220" s="3">
        <f t="shared" si="24"/>
        <v>1989.8461487</v>
      </c>
      <c r="E220" s="1">
        <v>28.553599999999999</v>
      </c>
      <c r="F220" s="1">
        <v>19.681899999999999</v>
      </c>
      <c r="G220" s="1">
        <v>9.9306000000000001</v>
      </c>
      <c r="H220" s="1">
        <v>14.673999999999999</v>
      </c>
      <c r="I220" s="1">
        <v>172.25</v>
      </c>
      <c r="J220" s="1">
        <f t="shared" si="20"/>
        <v>171.16496319999999</v>
      </c>
      <c r="K220" s="1">
        <v>0.91791000000000622</v>
      </c>
      <c r="L220" s="1">
        <f t="shared" si="21"/>
        <v>-67.606491685393252</v>
      </c>
      <c r="M220" s="1">
        <v>-244.14461</v>
      </c>
      <c r="N220" s="1">
        <v>-30.766719999999999</v>
      </c>
    </row>
    <row r="221" spans="1:14" x14ac:dyDescent="0.4">
      <c r="B221" s="1">
        <v>11.2</v>
      </c>
      <c r="C221" s="1" t="s">
        <v>232</v>
      </c>
      <c r="D221" s="3">
        <f t="shared" si="24"/>
        <v>1989.7692256</v>
      </c>
      <c r="E221" s="1">
        <v>19.272600000000001</v>
      </c>
      <c r="F221" s="1">
        <v>12.1777</v>
      </c>
      <c r="G221" s="1">
        <v>2.8917999999999999</v>
      </c>
      <c r="H221" s="1">
        <v>9.0358000000000001</v>
      </c>
      <c r="I221" s="1">
        <v>95.134200000000007</v>
      </c>
      <c r="J221" s="1">
        <f t="shared" si="20"/>
        <v>94.401841200000007</v>
      </c>
      <c r="K221" s="1">
        <v>-0.37895000000000323</v>
      </c>
      <c r="L221" s="1">
        <f t="shared" si="21"/>
        <v>-33.762142247191008</v>
      </c>
      <c r="M221" s="1">
        <v>-241.25066000000001</v>
      </c>
      <c r="N221" s="1">
        <v>-30.452249999999999</v>
      </c>
    </row>
    <row r="222" spans="1:14" x14ac:dyDescent="0.4">
      <c r="B222" s="1">
        <v>11.25</v>
      </c>
      <c r="C222" s="1" t="s">
        <v>233</v>
      </c>
      <c r="D222" s="3">
        <f t="shared" si="24"/>
        <v>1989.6923025000001</v>
      </c>
      <c r="E222" s="1">
        <v>29.960599999999999</v>
      </c>
      <c r="F222" s="1">
        <v>41.798299999999998</v>
      </c>
      <c r="G222" s="1">
        <v>5.3068999999999997</v>
      </c>
      <c r="H222" s="1">
        <v>32.265900000000002</v>
      </c>
      <c r="I222" s="1">
        <v>162.26650000000001</v>
      </c>
      <c r="J222" s="1">
        <f t="shared" si="20"/>
        <v>161.12799720000001</v>
      </c>
      <c r="K222" s="1">
        <v>2.8220899999999745</v>
      </c>
      <c r="L222" s="1">
        <f t="shared" si="21"/>
        <v>-60.560746741573041</v>
      </c>
      <c r="M222" s="1">
        <v>-238.00496999999999</v>
      </c>
      <c r="N222" s="1">
        <v>-30.237819999999999</v>
      </c>
    </row>
    <row r="223" spans="1:14" x14ac:dyDescent="0.4">
      <c r="B223" s="1">
        <v>11.3</v>
      </c>
      <c r="C223" s="1" t="s">
        <v>234</v>
      </c>
      <c r="D223" s="3">
        <f t="shared" si="24"/>
        <v>1989.6153793999999</v>
      </c>
      <c r="E223" s="1">
        <v>16.918199999999999</v>
      </c>
      <c r="F223" s="1">
        <v>10.6271</v>
      </c>
      <c r="G223" s="1">
        <v>2.3220999999999998</v>
      </c>
      <c r="H223" s="1">
        <v>9.2318999999999996</v>
      </c>
      <c r="I223" s="1">
        <v>79.334299999999999</v>
      </c>
      <c r="J223" s="1">
        <f t="shared" si="20"/>
        <v>78.6914084</v>
      </c>
      <c r="K223" s="1">
        <v>1.9891499999999951</v>
      </c>
      <c r="L223" s="1">
        <f t="shared" si="21"/>
        <v>-27.290456404494385</v>
      </c>
      <c r="M223" s="1">
        <v>-243.73581999999999</v>
      </c>
      <c r="N223" s="1">
        <v>-30.973279999999999</v>
      </c>
    </row>
    <row r="224" spans="1:14" x14ac:dyDescent="0.4">
      <c r="B224" s="1">
        <v>11.35</v>
      </c>
      <c r="C224" s="1" t="s">
        <v>235</v>
      </c>
      <c r="D224" s="3">
        <f t="shared" si="24"/>
        <v>1989.5384563</v>
      </c>
      <c r="E224" s="1">
        <v>69.366</v>
      </c>
      <c r="F224" s="1">
        <v>14.3728</v>
      </c>
      <c r="G224" s="1">
        <v>4.3516000000000004</v>
      </c>
      <c r="H224" s="1">
        <v>36.299799999999998</v>
      </c>
      <c r="I224" s="1">
        <v>160.2216</v>
      </c>
      <c r="J224" s="1">
        <f t="shared" si="20"/>
        <v>157.58569199999999</v>
      </c>
      <c r="K224" s="1">
        <v>2.3673399999999845</v>
      </c>
      <c r="L224" s="1">
        <f t="shared" si="21"/>
        <v>-19.165287640449435</v>
      </c>
      <c r="M224" s="1">
        <v>-254.93858</v>
      </c>
      <c r="N224" s="1">
        <v>-31.912500000000001</v>
      </c>
    </row>
    <row r="225" spans="1:14" x14ac:dyDescent="0.4">
      <c r="B225" s="1">
        <v>11.4</v>
      </c>
      <c r="C225" s="1" t="s">
        <v>236</v>
      </c>
      <c r="D225" s="3">
        <f t="shared" si="24"/>
        <v>1989.4615332000001</v>
      </c>
      <c r="E225" s="1">
        <v>36.481000000000002</v>
      </c>
      <c r="F225" s="1">
        <v>7.6561000000000003</v>
      </c>
      <c r="G225" s="1">
        <v>2.2513000000000001</v>
      </c>
      <c r="H225" s="1">
        <v>11.1755</v>
      </c>
      <c r="I225" s="1">
        <v>48.015500000000003</v>
      </c>
      <c r="J225" s="1">
        <f t="shared" si="20"/>
        <v>46.629222000000006</v>
      </c>
      <c r="K225" s="1">
        <v>3.8975900000000081</v>
      </c>
      <c r="L225" s="1">
        <f t="shared" si="21"/>
        <v>10.284807865168538</v>
      </c>
      <c r="M225" s="1">
        <v>-267.62936000000002</v>
      </c>
      <c r="N225" s="1">
        <v>-33.781590000000001</v>
      </c>
    </row>
    <row r="226" spans="1:14" x14ac:dyDescent="0.4">
      <c r="B226" s="1">
        <v>11.45</v>
      </c>
      <c r="C226" s="1" t="s">
        <v>237</v>
      </c>
      <c r="D226" s="3">
        <f t="shared" si="24"/>
        <v>1989.3846100999999</v>
      </c>
      <c r="E226" s="1">
        <v>115.7013</v>
      </c>
      <c r="F226" s="1">
        <v>28.3063</v>
      </c>
      <c r="G226" s="1">
        <v>5.2076000000000002</v>
      </c>
      <c r="H226" s="1">
        <v>34.0837</v>
      </c>
      <c r="I226" s="1">
        <v>59.368899999999996</v>
      </c>
      <c r="J226" s="1">
        <f t="shared" si="20"/>
        <v>54.972250599999995</v>
      </c>
      <c r="K226" s="1">
        <v>4.0504200000000026</v>
      </c>
      <c r="L226" s="1">
        <f t="shared" si="21"/>
        <v>84.818013146067415</v>
      </c>
      <c r="M226" s="1">
        <v>-272.10012</v>
      </c>
      <c r="N226" s="1">
        <v>-34.223799999999997</v>
      </c>
    </row>
    <row r="227" spans="1:14" x14ac:dyDescent="0.4">
      <c r="B227" s="1">
        <v>11.5</v>
      </c>
      <c r="C227" s="1" t="s">
        <v>238</v>
      </c>
      <c r="D227" s="3">
        <f t="shared" si="24"/>
        <v>1989.307687</v>
      </c>
      <c r="E227" s="1">
        <v>40.135100000000001</v>
      </c>
      <c r="F227" s="1">
        <v>7.1064999999999996</v>
      </c>
      <c r="G227" s="1">
        <v>1.4869000000000001</v>
      </c>
      <c r="H227" s="1">
        <v>13.174899999999999</v>
      </c>
      <c r="I227" s="1">
        <v>52.369199999999999</v>
      </c>
      <c r="J227" s="1">
        <f t="shared" si="20"/>
        <v>50.8440662</v>
      </c>
      <c r="K227" s="1">
        <v>0.36142000000000962</v>
      </c>
      <c r="L227" s="1">
        <f t="shared" si="21"/>
        <v>11.571017865168542</v>
      </c>
      <c r="M227" s="1">
        <v>-266.02280000000002</v>
      </c>
      <c r="N227" s="1">
        <v>-33.81373</v>
      </c>
    </row>
    <row r="228" spans="1:14" x14ac:dyDescent="0.4">
      <c r="B228" s="1">
        <v>11.55</v>
      </c>
      <c r="C228" s="1" t="s">
        <v>239</v>
      </c>
      <c r="D228" s="3">
        <f t="shared" si="24"/>
        <v>1989.2307639000001</v>
      </c>
      <c r="E228" s="1">
        <v>47.559399999999997</v>
      </c>
      <c r="F228" s="1">
        <v>42.834899999999998</v>
      </c>
      <c r="G228" s="1">
        <v>3.57</v>
      </c>
      <c r="H228" s="1">
        <v>27.4236</v>
      </c>
      <c r="I228" s="1">
        <v>79.252200000000002</v>
      </c>
      <c r="J228" s="1">
        <f t="shared" si="20"/>
        <v>77.444942800000007</v>
      </c>
      <c r="K228" s="1">
        <v>2.623359999999991</v>
      </c>
      <c r="L228" s="1">
        <f t="shared" si="21"/>
        <v>4.0510051685393194</v>
      </c>
      <c r="M228" s="1">
        <v>-261.36714999999998</v>
      </c>
      <c r="N228" s="1">
        <v>-32.961709999999997</v>
      </c>
    </row>
    <row r="229" spans="1:14" x14ac:dyDescent="0.4">
      <c r="B229" s="1">
        <v>11.6</v>
      </c>
      <c r="C229" s="1" t="s">
        <v>240</v>
      </c>
      <c r="D229" s="3">
        <f t="shared" si="24"/>
        <v>1989.1538407999999</v>
      </c>
      <c r="E229" s="1">
        <v>134.17619999999999</v>
      </c>
      <c r="F229" s="1">
        <v>18.645399999999999</v>
      </c>
      <c r="G229" s="1">
        <v>29.747199999999999</v>
      </c>
      <c r="H229" s="1">
        <v>27.4755</v>
      </c>
      <c r="I229" s="1">
        <v>128.74629999999999</v>
      </c>
      <c r="J229" s="1">
        <f t="shared" si="20"/>
        <v>123.64760439999999</v>
      </c>
      <c r="K229" s="1">
        <v>1.6902799999999729</v>
      </c>
      <c r="L229" s="1">
        <f t="shared" si="21"/>
        <v>64.711253707865168</v>
      </c>
      <c r="M229" s="1">
        <v>-244.99991</v>
      </c>
      <c r="N229" s="1">
        <v>-31.102640000000001</v>
      </c>
    </row>
    <row r="230" spans="1:14" x14ac:dyDescent="0.4">
      <c r="B230" s="1">
        <v>11.65</v>
      </c>
      <c r="C230" s="1" t="s">
        <v>241</v>
      </c>
      <c r="D230" s="3">
        <f t="shared" si="24"/>
        <v>1989.0769177</v>
      </c>
      <c r="E230" s="1">
        <v>47.862699999999997</v>
      </c>
      <c r="F230" s="1">
        <v>45.377600000000001</v>
      </c>
      <c r="G230" s="1">
        <v>3.2570000000000001</v>
      </c>
      <c r="H230" s="1">
        <v>28.547999999999998</v>
      </c>
      <c r="I230" s="1">
        <v>77.036299999999997</v>
      </c>
      <c r="J230" s="1">
        <f t="shared" si="20"/>
        <v>75.217517399999991</v>
      </c>
      <c r="K230" s="1">
        <v>4.487039999999979</v>
      </c>
      <c r="L230" s="1">
        <f t="shared" si="21"/>
        <v>5.6056677528089907</v>
      </c>
      <c r="M230" s="1">
        <v>-231.22659999999999</v>
      </c>
      <c r="N230" s="1">
        <v>-29.534189999999999</v>
      </c>
    </row>
    <row r="231" spans="1:14" x14ac:dyDescent="0.4">
      <c r="A231" s="1">
        <v>1989</v>
      </c>
      <c r="B231" s="1">
        <v>11.7</v>
      </c>
      <c r="C231" s="1" t="s">
        <v>242</v>
      </c>
      <c r="D231" s="3">
        <f>-1*B231+2000.7</f>
        <v>1989</v>
      </c>
      <c r="E231" s="1">
        <v>21.142399999999999</v>
      </c>
      <c r="F231" s="1">
        <v>5.9134000000000002</v>
      </c>
      <c r="G231" s="1">
        <v>1.7245999999999999</v>
      </c>
      <c r="H231" s="1">
        <v>7.2849000000000004</v>
      </c>
      <c r="I231" s="1">
        <v>25.0092</v>
      </c>
      <c r="J231" s="1">
        <f t="shared" si="20"/>
        <v>24.205788800000001</v>
      </c>
      <c r="K231" s="1">
        <v>2.3265299999999911</v>
      </c>
      <c r="L231" s="1">
        <f t="shared" si="21"/>
        <v>7.5436422471910092</v>
      </c>
      <c r="M231" s="1">
        <v>-222.00366</v>
      </c>
      <c r="N231" s="1">
        <v>-28.45797</v>
      </c>
    </row>
    <row r="232" spans="1:14" x14ac:dyDescent="0.4">
      <c r="B232" s="1">
        <v>11.75</v>
      </c>
      <c r="C232" s="1" t="s">
        <v>243</v>
      </c>
      <c r="D232" s="3">
        <f t="shared" ref="D232:D250" si="25">-1*B232+2000.7</f>
        <v>1988.95</v>
      </c>
      <c r="E232" s="1">
        <v>32.756</v>
      </c>
      <c r="F232" s="1">
        <v>8.7493999999999996</v>
      </c>
      <c r="G232" s="1">
        <v>2.4689000000000001</v>
      </c>
      <c r="H232" s="1">
        <v>8.8861000000000008</v>
      </c>
      <c r="I232" s="1">
        <v>39.856699999999996</v>
      </c>
      <c r="J232" s="1">
        <f t="shared" si="20"/>
        <v>38.611971999999994</v>
      </c>
      <c r="K232" s="1">
        <v>3.8212100000000078</v>
      </c>
      <c r="L232" s="1">
        <f t="shared" si="21"/>
        <v>11.063880898876409</v>
      </c>
      <c r="M232" s="1">
        <v>-221.08457999999999</v>
      </c>
      <c r="N232" s="1">
        <v>-29.32141</v>
      </c>
    </row>
    <row r="233" spans="1:14" x14ac:dyDescent="0.4">
      <c r="B233" s="1">
        <v>11.8</v>
      </c>
      <c r="C233" s="1" t="s">
        <v>244</v>
      </c>
      <c r="D233" s="3">
        <f t="shared" si="25"/>
        <v>1988.9</v>
      </c>
      <c r="E233" s="1">
        <v>18.886600000000001</v>
      </c>
      <c r="F233" s="1">
        <v>10.161199999999999</v>
      </c>
      <c r="G233" s="1">
        <v>1.4695</v>
      </c>
      <c r="H233" s="1">
        <v>9.7292000000000005</v>
      </c>
      <c r="I233" s="1">
        <v>62.589399999999998</v>
      </c>
      <c r="J233" s="1">
        <f t="shared" si="20"/>
        <v>61.871709199999998</v>
      </c>
      <c r="K233" s="1">
        <v>5.0469200000000001</v>
      </c>
      <c r="L233" s="1">
        <f t="shared" si="21"/>
        <v>-15.872787191011234</v>
      </c>
      <c r="M233" s="1">
        <v>-220.95585</v>
      </c>
      <c r="N233" s="1">
        <v>-28.554099999999998</v>
      </c>
    </row>
    <row r="234" spans="1:14" x14ac:dyDescent="0.4">
      <c r="B234" s="1">
        <v>11.85</v>
      </c>
      <c r="C234" s="1" t="s">
        <v>245</v>
      </c>
      <c r="D234" s="3">
        <f t="shared" si="25"/>
        <v>1988.8500000000001</v>
      </c>
      <c r="E234" s="1">
        <v>9.2640999999999991</v>
      </c>
      <c r="F234" s="1">
        <v>15.7136</v>
      </c>
      <c r="G234" s="1">
        <v>2.3471000000000002</v>
      </c>
      <c r="H234" s="1">
        <v>11.5258</v>
      </c>
      <c r="I234" s="1">
        <v>34.978499999999997</v>
      </c>
      <c r="J234" s="1">
        <f t="shared" si="20"/>
        <v>34.626464199999994</v>
      </c>
      <c r="K234" s="1">
        <v>5.6600999999999999</v>
      </c>
      <c r="L234" s="1">
        <f t="shared" si="21"/>
        <v>-10.188969775280896</v>
      </c>
      <c r="M234" s="1">
        <v>-225.85651999999999</v>
      </c>
      <c r="N234" s="1">
        <v>-28.955259999999999</v>
      </c>
    </row>
    <row r="235" spans="1:14" x14ac:dyDescent="0.4">
      <c r="B235" s="1">
        <v>11.9</v>
      </c>
      <c r="C235" s="1" t="s">
        <v>246</v>
      </c>
      <c r="D235" s="3">
        <f t="shared" si="25"/>
        <v>1988.8</v>
      </c>
      <c r="E235" s="1">
        <v>12.5703</v>
      </c>
      <c r="F235" s="1">
        <v>20.863099999999999</v>
      </c>
      <c r="G235" s="1">
        <v>3.8041</v>
      </c>
      <c r="H235" s="1">
        <v>6.9131</v>
      </c>
      <c r="I235" s="1">
        <v>63.392299999999999</v>
      </c>
      <c r="J235" s="1">
        <f t="shared" si="20"/>
        <v>62.9146286</v>
      </c>
      <c r="K235" s="1">
        <v>13.486700000000013</v>
      </c>
      <c r="L235" s="1">
        <f t="shared" si="21"/>
        <v>-22.774996966292132</v>
      </c>
      <c r="M235" s="1">
        <v>-229.55727999999999</v>
      </c>
      <c r="N235" s="1">
        <v>-29.70486</v>
      </c>
    </row>
    <row r="236" spans="1:14" x14ac:dyDescent="0.4">
      <c r="B236" s="1">
        <v>11.95</v>
      </c>
      <c r="C236" s="1" t="s">
        <v>247</v>
      </c>
      <c r="D236" s="3">
        <f t="shared" si="25"/>
        <v>1988.75</v>
      </c>
      <c r="E236" s="1">
        <v>6.8353999999999999</v>
      </c>
      <c r="F236" s="1">
        <v>50.963700000000003</v>
      </c>
      <c r="G236" s="1">
        <v>1.0964</v>
      </c>
      <c r="H236" s="1">
        <v>4.7854000000000001</v>
      </c>
      <c r="I236" s="1">
        <v>122.0681</v>
      </c>
      <c r="J236" s="1">
        <f t="shared" si="20"/>
        <v>121.8083548</v>
      </c>
      <c r="K236" s="1">
        <v>7.476949999999988</v>
      </c>
      <c r="L236" s="1">
        <f t="shared" si="21"/>
        <v>-61.596260000000008</v>
      </c>
      <c r="M236" s="1">
        <v>-232.38200000000001</v>
      </c>
      <c r="N236" s="1">
        <v>-30.08033</v>
      </c>
    </row>
    <row r="237" spans="1:14" x14ac:dyDescent="0.4">
      <c r="B237" s="1">
        <v>12</v>
      </c>
      <c r="C237" s="1" t="s">
        <v>248</v>
      </c>
      <c r="D237" s="3">
        <f t="shared" si="25"/>
        <v>1988.7</v>
      </c>
      <c r="E237" s="1">
        <v>9.5507000000000009</v>
      </c>
      <c r="F237" s="1">
        <v>11.5168</v>
      </c>
      <c r="G237" s="1">
        <v>1.6711</v>
      </c>
      <c r="H237" s="1">
        <v>6.1078999999999999</v>
      </c>
      <c r="I237" s="1">
        <v>54.307099999999998</v>
      </c>
      <c r="J237" s="1">
        <f t="shared" si="20"/>
        <v>53.944173399999997</v>
      </c>
      <c r="K237" s="1">
        <v>5.7855600000000038</v>
      </c>
      <c r="L237" s="1">
        <f t="shared" si="21"/>
        <v>-20.755015393258425</v>
      </c>
      <c r="M237" s="1">
        <v>-235.36767</v>
      </c>
      <c r="N237" s="1">
        <v>-30.087969999999999</v>
      </c>
    </row>
    <row r="238" spans="1:14" x14ac:dyDescent="0.4">
      <c r="B238" s="1">
        <v>12.05</v>
      </c>
      <c r="C238" s="1" t="s">
        <v>249</v>
      </c>
      <c r="D238" s="3">
        <f t="shared" si="25"/>
        <v>1988.65</v>
      </c>
      <c r="E238" s="1">
        <v>15.479100000000001</v>
      </c>
      <c r="F238" s="1">
        <v>62.4861</v>
      </c>
      <c r="G238" s="1">
        <v>8.7942</v>
      </c>
      <c r="H238" s="1">
        <v>9.1463999999999999</v>
      </c>
      <c r="I238" s="1">
        <v>106.1878</v>
      </c>
      <c r="J238" s="1">
        <f t="shared" si="20"/>
        <v>105.5995942</v>
      </c>
      <c r="K238" s="1">
        <v>8.0816000000000088</v>
      </c>
      <c r="L238" s="1">
        <f t="shared" si="21"/>
        <v>-43.846514719101123</v>
      </c>
      <c r="M238" s="1">
        <v>-236.10541000000001</v>
      </c>
      <c r="N238" s="1">
        <v>-29.999880000000001</v>
      </c>
    </row>
    <row r="239" spans="1:14" x14ac:dyDescent="0.4">
      <c r="B239" s="1">
        <v>12.1</v>
      </c>
      <c r="C239" s="1" t="s">
        <v>250</v>
      </c>
      <c r="D239" s="3">
        <f t="shared" si="25"/>
        <v>1988.6000000000001</v>
      </c>
      <c r="E239" s="1">
        <v>18.0944</v>
      </c>
      <c r="F239" s="1">
        <v>8.8211999999999993</v>
      </c>
      <c r="G239" s="1">
        <v>3.8182</v>
      </c>
      <c r="H239" s="1">
        <v>4.5579000000000001</v>
      </c>
      <c r="I239" s="1">
        <v>54.3279</v>
      </c>
      <c r="J239" s="1">
        <f t="shared" si="20"/>
        <v>53.640312799999997</v>
      </c>
      <c r="K239" s="1">
        <v>8.2606399999999951</v>
      </c>
      <c r="L239" s="1">
        <f t="shared" si="21"/>
        <v>-12.040607191011233</v>
      </c>
      <c r="M239" s="1">
        <v>-238.21512999999999</v>
      </c>
      <c r="N239" s="1">
        <v>-30.260809999999999</v>
      </c>
    </row>
    <row r="240" spans="1:14" x14ac:dyDescent="0.4">
      <c r="B240" s="1">
        <v>12.15</v>
      </c>
      <c r="C240" s="1" t="s">
        <v>251</v>
      </c>
      <c r="D240" s="3">
        <f t="shared" si="25"/>
        <v>1988.55</v>
      </c>
      <c r="E240" s="1">
        <v>8.3728999999999996</v>
      </c>
      <c r="F240" s="1">
        <v>56.875599999999999</v>
      </c>
      <c r="G240" s="1">
        <v>1.1495</v>
      </c>
      <c r="H240" s="1">
        <v>3.1619999999999999</v>
      </c>
      <c r="I240" s="1">
        <v>18.5349</v>
      </c>
      <c r="J240" s="1">
        <f t="shared" si="20"/>
        <v>18.2167298</v>
      </c>
      <c r="K240" s="1">
        <v>5.3360899999999845</v>
      </c>
      <c r="L240" s="1">
        <f t="shared" si="21"/>
        <v>-1.8612178651685394</v>
      </c>
      <c r="M240" s="1">
        <v>-239.62134</v>
      </c>
      <c r="N240" s="1">
        <v>-30.43948</v>
      </c>
    </row>
    <row r="241" spans="1:14" x14ac:dyDescent="0.4">
      <c r="B241" s="1">
        <v>12.2</v>
      </c>
      <c r="C241" s="1" t="s">
        <v>252</v>
      </c>
      <c r="D241" s="3">
        <f t="shared" si="25"/>
        <v>1988.5</v>
      </c>
      <c r="E241" s="1">
        <v>99.568299999999994</v>
      </c>
      <c r="F241" s="1">
        <v>16.387599999999999</v>
      </c>
      <c r="G241" s="1">
        <v>8.5259</v>
      </c>
      <c r="H241" s="1">
        <v>25.828399999999998</v>
      </c>
      <c r="I241" s="1">
        <v>83.751199999999997</v>
      </c>
      <c r="J241" s="1">
        <f t="shared" si="20"/>
        <v>79.967604600000001</v>
      </c>
      <c r="K241" s="1">
        <v>3.8936300000000017</v>
      </c>
      <c r="L241" s="1">
        <f t="shared" si="21"/>
        <v>54.642679438202244</v>
      </c>
      <c r="M241" s="1">
        <v>-247.27921000000001</v>
      </c>
      <c r="N241" s="1">
        <v>-31.80292</v>
      </c>
    </row>
    <row r="242" spans="1:14" x14ac:dyDescent="0.4">
      <c r="B242" s="1">
        <v>12.25</v>
      </c>
      <c r="C242" s="1" t="s">
        <v>253</v>
      </c>
      <c r="D242" s="3">
        <f t="shared" si="25"/>
        <v>1988.45</v>
      </c>
      <c r="E242" s="1">
        <v>113.46559999999999</v>
      </c>
      <c r="F242" s="1">
        <v>18.686199999999999</v>
      </c>
      <c r="G242" s="1">
        <v>10.134600000000001</v>
      </c>
      <c r="H242" s="1">
        <v>28.951799999999999</v>
      </c>
      <c r="I242" s="1">
        <v>97.9191</v>
      </c>
      <c r="J242" s="1">
        <f t="shared" si="20"/>
        <v>93.607407199999997</v>
      </c>
      <c r="K242" s="1">
        <v>3.8713500000000067</v>
      </c>
      <c r="L242" s="1">
        <f t="shared" si="21"/>
        <v>60.877168988764041</v>
      </c>
      <c r="M242" s="1">
        <v>-253.51997</v>
      </c>
      <c r="N242" s="1">
        <v>-31.8443</v>
      </c>
    </row>
    <row r="243" spans="1:14" x14ac:dyDescent="0.4">
      <c r="B243" s="1">
        <v>12.3</v>
      </c>
      <c r="C243" s="1" t="s">
        <v>254</v>
      </c>
      <c r="D243" s="3">
        <f t="shared" si="25"/>
        <v>1988.4</v>
      </c>
      <c r="E243" s="1">
        <v>64.087500000000006</v>
      </c>
      <c r="F243" s="1">
        <v>9.3941999999999997</v>
      </c>
      <c r="G243" s="1">
        <v>6.0298999999999996</v>
      </c>
      <c r="H243" s="1">
        <v>14.832800000000001</v>
      </c>
      <c r="I243" s="1">
        <v>69.213700000000003</v>
      </c>
      <c r="J243" s="1">
        <f t="shared" si="20"/>
        <v>66.778374999999997</v>
      </c>
      <c r="K243" s="1">
        <v>3.8944999999999936</v>
      </c>
      <c r="L243" s="1">
        <f t="shared" si="21"/>
        <v>26.571558988764053</v>
      </c>
      <c r="M243" s="1">
        <v>-254.00572</v>
      </c>
      <c r="N243" s="1">
        <v>-32.16207</v>
      </c>
    </row>
    <row r="244" spans="1:14" x14ac:dyDescent="0.4">
      <c r="B244" s="1">
        <v>12.35</v>
      </c>
      <c r="C244" s="1" t="s">
        <v>255</v>
      </c>
      <c r="D244" s="3">
        <f t="shared" si="25"/>
        <v>1988.3500000000001</v>
      </c>
      <c r="E244" s="1">
        <v>48.024799999999999</v>
      </c>
      <c r="F244" s="1">
        <v>49.300199999999997</v>
      </c>
      <c r="G244" s="1">
        <v>6.069</v>
      </c>
      <c r="H244" s="1">
        <v>13.9495</v>
      </c>
      <c r="I244" s="1">
        <v>130.82339999999999</v>
      </c>
      <c r="J244" s="1">
        <f t="shared" si="20"/>
        <v>128.99845759999999</v>
      </c>
      <c r="K244" s="1">
        <v>7.1441499999999962</v>
      </c>
      <c r="L244" s="1">
        <f t="shared" si="21"/>
        <v>-24.446243595505621</v>
      </c>
      <c r="M244" s="1">
        <v>-252.44637</v>
      </c>
      <c r="N244" s="1">
        <v>-32.061259999999997</v>
      </c>
    </row>
    <row r="245" spans="1:14" x14ac:dyDescent="0.4">
      <c r="B245" s="1">
        <v>12.4</v>
      </c>
      <c r="C245" s="1" t="s">
        <v>256</v>
      </c>
      <c r="D245" s="3">
        <f t="shared" si="25"/>
        <v>1988.3</v>
      </c>
      <c r="E245" s="1">
        <v>42.099200000000003</v>
      </c>
      <c r="F245" s="1">
        <v>6.9272999999999998</v>
      </c>
      <c r="G245" s="1">
        <v>5.1437999999999997</v>
      </c>
      <c r="H245" s="1">
        <v>9.4608000000000008</v>
      </c>
      <c r="I245" s="1">
        <v>67.803399999999996</v>
      </c>
      <c r="J245" s="1">
        <f t="shared" si="20"/>
        <v>66.203630399999994</v>
      </c>
      <c r="K245" s="1">
        <v>1.2344300000000032</v>
      </c>
      <c r="L245" s="1">
        <f t="shared" si="21"/>
        <v>4.9061492134831539</v>
      </c>
      <c r="M245" s="1">
        <v>-239.05085</v>
      </c>
      <c r="N245" s="1">
        <v>-30.250730000000001</v>
      </c>
    </row>
    <row r="246" spans="1:14" x14ac:dyDescent="0.4">
      <c r="B246" s="1">
        <v>12.45</v>
      </c>
      <c r="C246" s="1" t="s">
        <v>257</v>
      </c>
      <c r="D246" s="3">
        <f t="shared" si="25"/>
        <v>1988.25</v>
      </c>
      <c r="E246" s="1">
        <v>39.221400000000003</v>
      </c>
      <c r="F246" s="1">
        <v>44.996600000000001</v>
      </c>
      <c r="G246" s="1">
        <v>4.3183999999999996</v>
      </c>
      <c r="H246" s="1">
        <v>16.6312</v>
      </c>
      <c r="I246" s="1">
        <v>117.8689</v>
      </c>
      <c r="J246" s="1">
        <f t="shared" si="20"/>
        <v>116.37848679999999</v>
      </c>
      <c r="K246" s="1">
        <v>3.2908400000000029</v>
      </c>
      <c r="L246" s="1">
        <f t="shared" si="21"/>
        <v>-26.159772359550558</v>
      </c>
      <c r="M246" s="1">
        <v>-234.20150000000001</v>
      </c>
      <c r="N246" s="1">
        <v>-29.79045</v>
      </c>
    </row>
    <row r="247" spans="1:14" x14ac:dyDescent="0.4">
      <c r="B247" s="1">
        <v>12.5</v>
      </c>
      <c r="C247" s="1" t="s">
        <v>258</v>
      </c>
      <c r="D247" s="3">
        <f t="shared" si="25"/>
        <v>1988.2</v>
      </c>
      <c r="E247" s="1">
        <v>136.19839999999999</v>
      </c>
      <c r="F247" s="1">
        <v>10.8157</v>
      </c>
      <c r="G247" s="1">
        <v>8.3415999999999997</v>
      </c>
      <c r="H247" s="1">
        <v>29.421199999999999</v>
      </c>
      <c r="I247" s="1">
        <v>102.9251</v>
      </c>
      <c r="J247" s="1">
        <f t="shared" si="20"/>
        <v>97.749560799999998</v>
      </c>
      <c r="K247" s="1">
        <v>4.0437099999999759</v>
      </c>
      <c r="L247" s="1">
        <f t="shared" si="21"/>
        <v>81.282916404494387</v>
      </c>
      <c r="M247" s="1">
        <v>-224.97208000000001</v>
      </c>
      <c r="N247" s="1">
        <v>-28.602820000000001</v>
      </c>
    </row>
    <row r="248" spans="1:14" x14ac:dyDescent="0.4">
      <c r="B248" s="1">
        <v>12.55</v>
      </c>
      <c r="C248" s="1" t="s">
        <v>259</v>
      </c>
      <c r="D248" s="3">
        <f t="shared" si="25"/>
        <v>1988.15</v>
      </c>
      <c r="E248" s="1">
        <v>145.97479999999999</v>
      </c>
      <c r="F248" s="1">
        <v>33.539200000000001</v>
      </c>
      <c r="G248" s="1">
        <v>10.4742</v>
      </c>
      <c r="H248" s="1">
        <v>27.0183</v>
      </c>
      <c r="I248" s="1">
        <v>177.2878</v>
      </c>
      <c r="J248" s="1">
        <f t="shared" si="20"/>
        <v>171.74075759999999</v>
      </c>
      <c r="K248" s="1">
        <v>2.9549900000000093</v>
      </c>
      <c r="L248" s="1">
        <f t="shared" si="21"/>
        <v>49.49122831460673</v>
      </c>
      <c r="M248" s="1">
        <v>-219.37870000000001</v>
      </c>
      <c r="N248" s="1">
        <v>-27.484919999999999</v>
      </c>
    </row>
    <row r="249" spans="1:14" x14ac:dyDescent="0.4">
      <c r="B249" s="1">
        <v>12.6</v>
      </c>
      <c r="C249" s="1" t="s">
        <v>260</v>
      </c>
      <c r="D249" s="3">
        <f t="shared" si="25"/>
        <v>1988.1000000000001</v>
      </c>
      <c r="E249" s="1">
        <v>154.00729999999999</v>
      </c>
      <c r="F249" s="1">
        <v>2.8003999999999998</v>
      </c>
      <c r="G249" s="1">
        <v>11.6761</v>
      </c>
      <c r="H249" s="1">
        <v>33.624699999999997</v>
      </c>
      <c r="I249" s="1">
        <v>106.3522</v>
      </c>
      <c r="J249" s="1">
        <f t="shared" si="20"/>
        <v>100.49992259999999</v>
      </c>
      <c r="K249" s="1">
        <v>4.122099999999989</v>
      </c>
      <c r="L249" s="1">
        <f t="shared" si="21"/>
        <v>97.546669325842686</v>
      </c>
      <c r="M249" s="1">
        <v>-210.58687</v>
      </c>
      <c r="N249" s="1">
        <v>-26.494980000000002</v>
      </c>
    </row>
    <row r="250" spans="1:14" x14ac:dyDescent="0.4">
      <c r="B250" s="1">
        <v>12.65</v>
      </c>
      <c r="C250" s="1" t="s">
        <v>261</v>
      </c>
      <c r="D250" s="3">
        <f t="shared" si="25"/>
        <v>1988.05</v>
      </c>
      <c r="E250" s="1">
        <v>124.2758</v>
      </c>
      <c r="F250" s="1">
        <v>49.385100000000001</v>
      </c>
      <c r="G250" s="1">
        <v>17.7774</v>
      </c>
      <c r="H250" s="1">
        <v>30.086600000000001</v>
      </c>
      <c r="I250" s="1">
        <v>183.791</v>
      </c>
      <c r="J250" s="1">
        <f t="shared" si="20"/>
        <v>179.0685196</v>
      </c>
      <c r="K250" s="1">
        <v>3.8504800000000046</v>
      </c>
      <c r="L250" s="1">
        <f t="shared" si="21"/>
        <v>23.675508089887643</v>
      </c>
      <c r="M250" s="1">
        <v>-202.77495999999999</v>
      </c>
      <c r="N250" s="1">
        <v>-25.505690000000001</v>
      </c>
    </row>
    <row r="251" spans="1:14" x14ac:dyDescent="0.4">
      <c r="A251" s="1">
        <v>1988</v>
      </c>
      <c r="B251" s="1">
        <v>12.7</v>
      </c>
      <c r="C251" s="1" t="s">
        <v>262</v>
      </c>
      <c r="D251" s="3">
        <f>-1.11111*B251+2002.11111</f>
        <v>1988.0000130000001</v>
      </c>
      <c r="E251" s="1">
        <v>38.780900000000003</v>
      </c>
      <c r="F251" s="1">
        <v>5.2157</v>
      </c>
      <c r="G251" s="1">
        <v>7.7577999999999996</v>
      </c>
      <c r="H251" s="1">
        <v>10.8347</v>
      </c>
      <c r="I251" s="1">
        <v>82.227000000000004</v>
      </c>
      <c r="J251" s="1">
        <f t="shared" si="20"/>
        <v>80.753325799999999</v>
      </c>
      <c r="K251" s="1">
        <v>0.50065999999998212</v>
      </c>
      <c r="L251" s="1">
        <f t="shared" si="21"/>
        <v>-6.5861369662921305</v>
      </c>
      <c r="M251" s="1">
        <v>-203.44560000000001</v>
      </c>
      <c r="N251" s="1">
        <v>-25.212299999999999</v>
      </c>
    </row>
    <row r="252" spans="1:14" x14ac:dyDescent="0.4">
      <c r="B252" s="1">
        <v>12.75</v>
      </c>
      <c r="C252" s="1" t="s">
        <v>263</v>
      </c>
      <c r="D252" s="3">
        <f t="shared" ref="D252:D268" si="26">-1.11111*B252+2002.11111</f>
        <v>1987.9444575</v>
      </c>
      <c r="E252" s="1">
        <v>47.008899999999997</v>
      </c>
      <c r="F252" s="1">
        <v>14.340999999999999</v>
      </c>
      <c r="G252" s="1">
        <v>26.113399999999999</v>
      </c>
      <c r="H252" s="1">
        <v>17.559699999999999</v>
      </c>
      <c r="I252" s="1">
        <v>185.08690000000001</v>
      </c>
      <c r="J252" s="1">
        <f t="shared" si="20"/>
        <v>183.30056180000003</v>
      </c>
      <c r="K252" s="1">
        <v>1.3729700000000093</v>
      </c>
      <c r="L252" s="1">
        <f t="shared" si="21"/>
        <v>-55.968943707865179</v>
      </c>
      <c r="M252" s="1">
        <v>-211.10462999999999</v>
      </c>
      <c r="N252" s="1">
        <v>-26.21256</v>
      </c>
    </row>
    <row r="253" spans="1:14" x14ac:dyDescent="0.4">
      <c r="B253" s="1">
        <v>12.8</v>
      </c>
      <c r="C253" s="1" t="s">
        <v>264</v>
      </c>
      <c r="D253" s="3">
        <f t="shared" si="26"/>
        <v>1987.8889020000001</v>
      </c>
      <c r="E253" s="1">
        <v>101.735</v>
      </c>
      <c r="F253" s="1">
        <v>8.5352999999999994</v>
      </c>
      <c r="G253" s="1">
        <v>13.967599999999999</v>
      </c>
      <c r="H253" s="1">
        <v>34.773800000000001</v>
      </c>
      <c r="I253" s="1">
        <v>142.17859999999999</v>
      </c>
      <c r="J253" s="1">
        <f t="shared" si="20"/>
        <v>138.31267</v>
      </c>
      <c r="K253" s="1">
        <v>1.2705600000000175</v>
      </c>
      <c r="L253" s="1">
        <f t="shared" si="21"/>
        <v>24.031252808988768</v>
      </c>
      <c r="M253" s="1">
        <v>-215.35243</v>
      </c>
      <c r="N253" s="1">
        <v>-26.711690000000001</v>
      </c>
    </row>
    <row r="254" spans="1:14" x14ac:dyDescent="0.4">
      <c r="B254" s="1">
        <v>12.85</v>
      </c>
      <c r="C254" s="1" t="s">
        <v>265</v>
      </c>
      <c r="D254" s="3">
        <f t="shared" si="26"/>
        <v>1987.8333465000001</v>
      </c>
      <c r="E254" s="1">
        <v>215.6105</v>
      </c>
      <c r="F254" s="1">
        <v>64.287899999999993</v>
      </c>
      <c r="G254" s="1">
        <v>21.165700000000001</v>
      </c>
      <c r="H254" s="1">
        <v>34.444499999999998</v>
      </c>
      <c r="I254" s="1">
        <v>177.82939999999999</v>
      </c>
      <c r="J254" s="1">
        <f t="shared" si="20"/>
        <v>169.636201</v>
      </c>
      <c r="K254" s="1">
        <v>-1.7472000000000207</v>
      </c>
      <c r="L254" s="1">
        <f t="shared" si="21"/>
        <v>120.30926348314607</v>
      </c>
      <c r="M254" s="1">
        <v>-216.29809</v>
      </c>
      <c r="N254" s="1">
        <v>-26.89883</v>
      </c>
    </row>
    <row r="255" spans="1:14" x14ac:dyDescent="0.4">
      <c r="B255" s="1">
        <v>12.9</v>
      </c>
      <c r="C255" s="1" t="s">
        <v>266</v>
      </c>
      <c r="D255" s="3">
        <f t="shared" si="26"/>
        <v>1987.777791</v>
      </c>
      <c r="E255" s="1">
        <v>115.3169</v>
      </c>
      <c r="F255" s="1">
        <v>2.61</v>
      </c>
      <c r="G255" s="1">
        <v>7.1336000000000004</v>
      </c>
      <c r="H255" s="1">
        <v>19.8612</v>
      </c>
      <c r="I255" s="1">
        <v>69.239500000000007</v>
      </c>
      <c r="J255" s="1">
        <f t="shared" si="20"/>
        <v>64.857457800000006</v>
      </c>
      <c r="K255" s="1">
        <v>-1.4041499999999871</v>
      </c>
      <c r="L255" s="1">
        <f t="shared" si="21"/>
        <v>78.880125955056172</v>
      </c>
      <c r="M255" s="1">
        <v>-212.28072</v>
      </c>
      <c r="N255" s="1">
        <v>-26.639970000000002</v>
      </c>
    </row>
    <row r="256" spans="1:14" x14ac:dyDescent="0.4">
      <c r="B256" s="1">
        <v>12.95</v>
      </c>
      <c r="C256" s="1" t="s">
        <v>267</v>
      </c>
      <c r="D256" s="3">
        <f t="shared" si="26"/>
        <v>1987.7222355000001</v>
      </c>
      <c r="E256" s="1">
        <v>63.239899999999999</v>
      </c>
      <c r="F256" s="1">
        <v>37.480499999999999</v>
      </c>
      <c r="G256" s="1">
        <v>11.263</v>
      </c>
      <c r="H256" s="1">
        <v>14.561999999999999</v>
      </c>
      <c r="I256" s="1">
        <v>86.536900000000003</v>
      </c>
      <c r="J256" s="1">
        <f t="shared" si="20"/>
        <v>84.133783800000003</v>
      </c>
      <c r="K256" s="1">
        <v>-1.6589099999999917</v>
      </c>
      <c r="L256" s="1">
        <f t="shared" si="21"/>
        <v>15.973729325842697</v>
      </c>
      <c r="M256" s="1">
        <v>-207.14084</v>
      </c>
      <c r="N256" s="1">
        <v>-26.136579999999999</v>
      </c>
    </row>
    <row r="257" spans="1:14" x14ac:dyDescent="0.4">
      <c r="B257" s="1">
        <v>13</v>
      </c>
      <c r="C257" s="1" t="s">
        <v>268</v>
      </c>
      <c r="D257" s="3">
        <f t="shared" si="26"/>
        <v>1987.66668</v>
      </c>
      <c r="E257" s="1">
        <v>9.0521999999999991</v>
      </c>
      <c r="F257" s="1">
        <v>4.2767999999999997</v>
      </c>
      <c r="G257" s="1">
        <v>6.2384000000000004</v>
      </c>
      <c r="H257" s="1">
        <v>3.9659</v>
      </c>
      <c r="I257" s="1">
        <v>78.712699999999998</v>
      </c>
      <c r="J257" s="1">
        <f t="shared" si="20"/>
        <v>78.368716399999997</v>
      </c>
      <c r="K257" s="1">
        <v>-1.10745</v>
      </c>
      <c r="L257" s="1">
        <f t="shared" si="21"/>
        <v>-34.975168764044945</v>
      </c>
      <c r="M257" s="1">
        <v>-209.85633999999999</v>
      </c>
      <c r="N257" s="1">
        <v>-26.364319999999999</v>
      </c>
    </row>
    <row r="258" spans="1:14" x14ac:dyDescent="0.4">
      <c r="B258" s="1">
        <v>13.05</v>
      </c>
      <c r="C258" s="1" t="s">
        <v>269</v>
      </c>
      <c r="D258" s="3">
        <f t="shared" si="26"/>
        <v>1987.6111245</v>
      </c>
      <c r="E258" s="1">
        <v>32.610399999999998</v>
      </c>
      <c r="F258" s="1">
        <v>61.691099999999999</v>
      </c>
      <c r="G258" s="1">
        <v>19.069500000000001</v>
      </c>
      <c r="H258" s="1">
        <v>10.741099999999999</v>
      </c>
      <c r="I258" s="1">
        <v>115.3737</v>
      </c>
      <c r="J258" s="1">
        <f t="shared" si="20"/>
        <v>114.1345048</v>
      </c>
      <c r="K258" s="1">
        <v>0.83904000000001133</v>
      </c>
      <c r="L258" s="1">
        <f t="shared" si="21"/>
        <v>-31.51010831460674</v>
      </c>
      <c r="M258" s="1">
        <v>-211.19257999999999</v>
      </c>
      <c r="N258" s="1">
        <v>-26.564209999999999</v>
      </c>
    </row>
    <row r="259" spans="1:14" x14ac:dyDescent="0.4">
      <c r="B259" s="1">
        <v>13.1</v>
      </c>
      <c r="C259" s="1" t="s">
        <v>270</v>
      </c>
      <c r="D259" s="3">
        <f t="shared" si="26"/>
        <v>1987.5555690000001</v>
      </c>
      <c r="E259" s="1">
        <v>17.659500000000001</v>
      </c>
      <c r="F259" s="1">
        <v>6.1139999999999999</v>
      </c>
      <c r="G259" s="1">
        <v>10.059799999999999</v>
      </c>
      <c r="H259" s="1">
        <v>6.3323</v>
      </c>
      <c r="I259" s="1">
        <v>85.248400000000004</v>
      </c>
      <c r="J259" s="1">
        <f t="shared" ref="J259:J322" si="27">I259-0.038*E259</f>
        <v>84.577339000000009</v>
      </c>
      <c r="K259" s="1">
        <v>1.9517999999999915</v>
      </c>
      <c r="L259" s="1">
        <f t="shared" ref="L259:L322" si="28">E259-(J259/1.78)</f>
        <v>-29.855858988764048</v>
      </c>
      <c r="M259" s="1">
        <v>-221.94162</v>
      </c>
      <c r="N259" s="1">
        <v>-27.97785</v>
      </c>
    </row>
    <row r="260" spans="1:14" x14ac:dyDescent="0.4">
      <c r="B260" s="1">
        <v>13.15</v>
      </c>
      <c r="C260" s="1" t="s">
        <v>271</v>
      </c>
      <c r="D260" s="3">
        <f t="shared" si="26"/>
        <v>1987.5000135</v>
      </c>
      <c r="E260" s="1">
        <v>47.869300000000003</v>
      </c>
      <c r="F260" s="1">
        <v>40.457299999999996</v>
      </c>
      <c r="G260" s="1">
        <v>8.4771000000000001</v>
      </c>
      <c r="H260" s="1">
        <v>12.3561</v>
      </c>
      <c r="I260" s="1">
        <v>114.71510000000001</v>
      </c>
      <c r="J260" s="1">
        <f t="shared" si="27"/>
        <v>112.89606660000001</v>
      </c>
      <c r="K260" s="1">
        <v>1.0582200000000057</v>
      </c>
      <c r="L260" s="1">
        <f t="shared" si="28"/>
        <v>-15.555456516853937</v>
      </c>
      <c r="M260" s="1">
        <v>-237.57929999999999</v>
      </c>
      <c r="N260" s="1">
        <v>-29.779389999999999</v>
      </c>
    </row>
    <row r="261" spans="1:14" x14ac:dyDescent="0.4">
      <c r="B261" s="1">
        <v>13.2</v>
      </c>
      <c r="C261" s="1" t="s">
        <v>272</v>
      </c>
      <c r="D261" s="3">
        <f t="shared" si="26"/>
        <v>1987.4444579999999</v>
      </c>
      <c r="E261" s="1">
        <v>31.204899999999999</v>
      </c>
      <c r="F261" s="1">
        <v>5.6576000000000004</v>
      </c>
      <c r="G261" s="1">
        <v>5.4043000000000001</v>
      </c>
      <c r="H261" s="1">
        <v>9.7093000000000007</v>
      </c>
      <c r="I261" s="1">
        <v>53.374200000000002</v>
      </c>
      <c r="J261" s="1">
        <f t="shared" si="27"/>
        <v>52.188413799999999</v>
      </c>
      <c r="K261" s="1">
        <v>1.3211000000000013</v>
      </c>
      <c r="L261" s="1">
        <f t="shared" si="28"/>
        <v>1.8855664044943801</v>
      </c>
      <c r="M261" s="1">
        <v>-253.07223999999999</v>
      </c>
      <c r="N261" s="1">
        <v>-31.732880000000002</v>
      </c>
    </row>
    <row r="262" spans="1:14" x14ac:dyDescent="0.4">
      <c r="B262" s="1">
        <v>13.25</v>
      </c>
      <c r="C262" s="1" t="s">
        <v>273</v>
      </c>
      <c r="D262" s="3">
        <f t="shared" si="26"/>
        <v>1987.3889025000001</v>
      </c>
      <c r="E262" s="1">
        <v>40.7652</v>
      </c>
      <c r="F262" s="1">
        <v>18.3474</v>
      </c>
      <c r="G262" s="1">
        <v>12.7753</v>
      </c>
      <c r="H262" s="1">
        <v>10.3461</v>
      </c>
      <c r="I262" s="1">
        <v>114.669</v>
      </c>
      <c r="J262" s="1">
        <f t="shared" si="27"/>
        <v>113.11992239999999</v>
      </c>
      <c r="K262" s="1">
        <v>1.8811800000000005</v>
      </c>
      <c r="L262" s="1">
        <f t="shared" si="28"/>
        <v>-22.785318202247183</v>
      </c>
      <c r="M262" s="1">
        <v>-265.96393999999998</v>
      </c>
      <c r="N262" s="1">
        <v>-33.45861</v>
      </c>
    </row>
    <row r="263" spans="1:14" x14ac:dyDescent="0.4">
      <c r="B263" s="1">
        <v>13.3</v>
      </c>
      <c r="C263" s="1" t="s">
        <v>274</v>
      </c>
      <c r="D263" s="3">
        <f t="shared" si="26"/>
        <v>1987.333347</v>
      </c>
      <c r="E263" s="1">
        <v>33.429499999999997</v>
      </c>
      <c r="F263" s="1">
        <v>4.5509000000000004</v>
      </c>
      <c r="G263" s="1">
        <v>4.5609000000000002</v>
      </c>
      <c r="H263" s="1">
        <v>16.0518</v>
      </c>
      <c r="I263" s="1">
        <v>53.364100000000001</v>
      </c>
      <c r="J263" s="1">
        <f t="shared" si="27"/>
        <v>52.093778999999998</v>
      </c>
      <c r="K263" s="1">
        <v>0.65582000000000562</v>
      </c>
      <c r="L263" s="1">
        <f t="shared" si="28"/>
        <v>4.1633320224719093</v>
      </c>
      <c r="M263" s="1">
        <v>-267.96361000000002</v>
      </c>
      <c r="N263" s="1">
        <v>-33.709409999999998</v>
      </c>
    </row>
    <row r="264" spans="1:14" x14ac:dyDescent="0.4">
      <c r="B264" s="1">
        <v>13.35</v>
      </c>
      <c r="C264" s="1" t="s">
        <v>275</v>
      </c>
      <c r="D264" s="3">
        <f t="shared" si="26"/>
        <v>1987.2777915000001</v>
      </c>
      <c r="E264" s="1">
        <v>31.543399999999998</v>
      </c>
      <c r="F264" s="1">
        <v>38.261499999999998</v>
      </c>
      <c r="G264" s="1">
        <v>10.647600000000001</v>
      </c>
      <c r="H264" s="1">
        <v>5.2305999999999999</v>
      </c>
      <c r="I264" s="1">
        <v>64.013800000000003</v>
      </c>
      <c r="J264" s="1">
        <f t="shared" si="27"/>
        <v>62.815150800000005</v>
      </c>
      <c r="K264" s="1">
        <v>0.7908000000000186</v>
      </c>
      <c r="L264" s="1">
        <f t="shared" si="28"/>
        <v>-3.7460105617977533</v>
      </c>
      <c r="M264" s="1">
        <v>-270.03906999999998</v>
      </c>
      <c r="N264" s="1">
        <v>-33.775939999999999</v>
      </c>
    </row>
    <row r="265" spans="1:14" x14ac:dyDescent="0.4">
      <c r="B265" s="1">
        <v>13.4</v>
      </c>
      <c r="C265" s="1" t="s">
        <v>276</v>
      </c>
      <c r="D265" s="3">
        <f t="shared" si="26"/>
        <v>1987.2222360000001</v>
      </c>
      <c r="E265" s="1">
        <v>52.162999999999997</v>
      </c>
      <c r="F265" s="1">
        <v>8.6155000000000008</v>
      </c>
      <c r="G265" s="1">
        <v>7.1977000000000002</v>
      </c>
      <c r="H265" s="1">
        <v>10.722300000000001</v>
      </c>
      <c r="I265" s="1">
        <v>50.349800000000002</v>
      </c>
      <c r="J265" s="1">
        <f t="shared" si="27"/>
        <v>48.367606000000002</v>
      </c>
      <c r="K265" s="1">
        <v>1.7049400000000219</v>
      </c>
      <c r="L265" s="1">
        <f t="shared" si="28"/>
        <v>24.990187640449435</v>
      </c>
      <c r="M265" s="1">
        <v>-260.01688999999999</v>
      </c>
      <c r="N265" s="1">
        <v>-33.602350000000001</v>
      </c>
    </row>
    <row r="266" spans="1:14" x14ac:dyDescent="0.4">
      <c r="B266" s="1">
        <v>13.45</v>
      </c>
      <c r="C266" s="1" t="s">
        <v>277</v>
      </c>
      <c r="D266" s="3">
        <f t="shared" si="26"/>
        <v>1987.1666805</v>
      </c>
      <c r="E266" s="1">
        <v>50.398699999999998</v>
      </c>
      <c r="F266" s="1">
        <v>38.362299999999998</v>
      </c>
      <c r="G266" s="1">
        <v>12.420500000000001</v>
      </c>
      <c r="H266" s="1">
        <v>10.950799999999999</v>
      </c>
      <c r="I266" s="1">
        <v>136.10249999999999</v>
      </c>
      <c r="J266" s="1">
        <f t="shared" si="27"/>
        <v>134.18734939999999</v>
      </c>
      <c r="K266" s="1">
        <v>1.7116699999999696</v>
      </c>
      <c r="L266" s="1">
        <f t="shared" si="28"/>
        <v>-24.9874513483146</v>
      </c>
      <c r="M266" s="1">
        <v>-268.04068999999998</v>
      </c>
      <c r="N266" s="1">
        <v>-32.669229999999999</v>
      </c>
    </row>
    <row r="267" spans="1:14" x14ac:dyDescent="0.4">
      <c r="B267" s="1">
        <v>13.5</v>
      </c>
      <c r="C267" s="1" t="s">
        <v>278</v>
      </c>
      <c r="D267" s="3">
        <f t="shared" si="26"/>
        <v>1987.1111250000001</v>
      </c>
      <c r="E267" s="1">
        <v>22.565200000000001</v>
      </c>
      <c r="F267" s="1">
        <v>10.9057</v>
      </c>
      <c r="G267" s="1">
        <v>5.1288999999999998</v>
      </c>
      <c r="H267" s="1">
        <v>5.5589000000000004</v>
      </c>
      <c r="I267" s="1">
        <v>34.134999999999998</v>
      </c>
      <c r="J267" s="1">
        <f t="shared" si="27"/>
        <v>33.277522399999995</v>
      </c>
      <c r="K267" s="1">
        <v>0.16845000000000709</v>
      </c>
      <c r="L267" s="1">
        <f t="shared" si="28"/>
        <v>3.8699626966292158</v>
      </c>
      <c r="M267" s="1">
        <v>-250.61911000000001</v>
      </c>
      <c r="N267" s="1">
        <v>-31.317309999999999</v>
      </c>
    </row>
    <row r="268" spans="1:14" x14ac:dyDescent="0.4">
      <c r="B268" s="1">
        <v>13.55</v>
      </c>
      <c r="C268" s="1" t="s">
        <v>279</v>
      </c>
      <c r="D268" s="3">
        <f t="shared" si="26"/>
        <v>1987.0555695</v>
      </c>
      <c r="E268" s="1">
        <v>43.997599999999998</v>
      </c>
      <c r="F268" s="1">
        <v>20.224499999999999</v>
      </c>
      <c r="G268" s="1">
        <v>6.6048999999999998</v>
      </c>
      <c r="H268" s="1">
        <v>14.011799999999999</v>
      </c>
      <c r="I268" s="1">
        <v>116.50190000000001</v>
      </c>
      <c r="J268" s="1">
        <f t="shared" si="27"/>
        <v>114.82999120000001</v>
      </c>
      <c r="K268" s="1">
        <v>8.8019100000000208</v>
      </c>
      <c r="L268" s="1">
        <f t="shared" si="28"/>
        <v>-20.513631011235965</v>
      </c>
      <c r="M268" s="1">
        <v>-243.93519000000001</v>
      </c>
      <c r="N268" s="1">
        <v>-30.497879999999999</v>
      </c>
    </row>
    <row r="269" spans="1:14" x14ac:dyDescent="0.4">
      <c r="A269" s="1">
        <v>1987</v>
      </c>
      <c r="B269" s="1">
        <v>13.6</v>
      </c>
      <c r="C269" s="1" t="s">
        <v>280</v>
      </c>
      <c r="D269" s="3">
        <f>-2.2222*B269+2017.2222</f>
        <v>1987.00028</v>
      </c>
      <c r="E269" s="1">
        <v>261.39710000000002</v>
      </c>
      <c r="F269" s="1">
        <v>16.6175</v>
      </c>
      <c r="G269" s="1">
        <v>16.630800000000001</v>
      </c>
      <c r="H269" s="1">
        <v>48.436199999999999</v>
      </c>
      <c r="I269" s="1">
        <v>66.939400000000006</v>
      </c>
      <c r="J269" s="1">
        <f t="shared" si="27"/>
        <v>57.006310200000001</v>
      </c>
      <c r="K269" s="1">
        <v>-6.6868499999999926</v>
      </c>
      <c r="L269" s="1">
        <f t="shared" si="28"/>
        <v>229.37108303370789</v>
      </c>
      <c r="M269" s="1">
        <v>-240.024</v>
      </c>
      <c r="N269" s="1">
        <v>-30.00141</v>
      </c>
    </row>
    <row r="270" spans="1:14" x14ac:dyDescent="0.4">
      <c r="B270" s="1">
        <v>13.65</v>
      </c>
      <c r="C270" s="1" t="s">
        <v>281</v>
      </c>
      <c r="D270" s="3">
        <f t="shared" ref="D270:D277" si="29">-2.2222*B270+2017.2222</f>
        <v>1986.8891699999999</v>
      </c>
      <c r="E270" s="1">
        <v>83.092699999999994</v>
      </c>
      <c r="F270" s="1">
        <v>57.7149</v>
      </c>
      <c r="G270" s="1">
        <v>15.74</v>
      </c>
      <c r="H270" s="1">
        <v>15.358700000000001</v>
      </c>
      <c r="I270" s="1">
        <v>122.6705</v>
      </c>
      <c r="J270" s="1">
        <f t="shared" si="27"/>
        <v>119.51297740000001</v>
      </c>
      <c r="K270" s="1">
        <v>-8.0630000000013524E-2</v>
      </c>
      <c r="L270" s="1">
        <f t="shared" si="28"/>
        <v>15.950577865168526</v>
      </c>
      <c r="M270" s="1">
        <v>-238.99256</v>
      </c>
      <c r="N270" s="1">
        <v>-29.92876</v>
      </c>
    </row>
    <row r="271" spans="1:14" x14ac:dyDescent="0.4">
      <c r="B271" s="1">
        <v>13.7</v>
      </c>
      <c r="C271" s="1" t="s">
        <v>282</v>
      </c>
      <c r="D271" s="3">
        <f t="shared" si="29"/>
        <v>1986.7780599999999</v>
      </c>
      <c r="E271" s="1">
        <v>33.732700000000001</v>
      </c>
      <c r="F271" s="1">
        <v>8.7018000000000004</v>
      </c>
      <c r="G271" s="1">
        <v>5.1516000000000002</v>
      </c>
      <c r="H271" s="1">
        <v>10.932</v>
      </c>
      <c r="I271" s="1">
        <v>63.584600000000002</v>
      </c>
      <c r="J271" s="1">
        <f t="shared" si="27"/>
        <v>62.302757400000004</v>
      </c>
      <c r="K271" s="1">
        <v>4.7849999999982629E-2</v>
      </c>
      <c r="L271" s="1">
        <f t="shared" si="28"/>
        <v>-1.2688491011235996</v>
      </c>
      <c r="M271" s="1">
        <v>-240.83947000000001</v>
      </c>
      <c r="N271" s="1">
        <v>-30.681660000000001</v>
      </c>
    </row>
    <row r="272" spans="1:14" x14ac:dyDescent="0.4">
      <c r="B272" s="1">
        <v>13.75</v>
      </c>
      <c r="C272" s="1" t="s">
        <v>283</v>
      </c>
      <c r="D272" s="3">
        <f t="shared" si="29"/>
        <v>1986.6669499999998</v>
      </c>
      <c r="E272" s="1">
        <v>27.151299999999999</v>
      </c>
      <c r="F272" s="1">
        <v>34.185299999999998</v>
      </c>
      <c r="G272" s="1">
        <v>7.9370000000000003</v>
      </c>
      <c r="H272" s="1">
        <v>6.3979999999999997</v>
      </c>
      <c r="I272" s="1">
        <v>85.24</v>
      </c>
      <c r="J272" s="1">
        <f t="shared" si="27"/>
        <v>84.2082506</v>
      </c>
      <c r="K272" s="1">
        <v>-1.2720000000001619E-2</v>
      </c>
      <c r="L272" s="1">
        <f t="shared" si="28"/>
        <v>-20.156705955056182</v>
      </c>
      <c r="M272" s="1">
        <v>-246.00672</v>
      </c>
      <c r="N272" s="1">
        <v>-31.316179999999999</v>
      </c>
    </row>
    <row r="273" spans="1:14" x14ac:dyDescent="0.4">
      <c r="B273" s="1">
        <v>13.8</v>
      </c>
      <c r="C273" s="1" t="s">
        <v>284</v>
      </c>
      <c r="D273" s="3">
        <f t="shared" si="29"/>
        <v>1986.55584</v>
      </c>
      <c r="E273" s="1">
        <v>30.860600000000002</v>
      </c>
      <c r="F273" s="1">
        <v>7.8460000000000001</v>
      </c>
      <c r="G273" s="1">
        <v>3.9948999999999999</v>
      </c>
      <c r="H273" s="1">
        <v>12.554399999999999</v>
      </c>
      <c r="I273" s="1">
        <v>51.6678</v>
      </c>
      <c r="J273" s="1">
        <f t="shared" si="27"/>
        <v>50.495097199999996</v>
      </c>
      <c r="K273" s="1">
        <v>0.43752000000000635</v>
      </c>
      <c r="L273" s="1">
        <f t="shared" si="28"/>
        <v>2.4925678651685423</v>
      </c>
      <c r="M273" s="1">
        <v>-250.29866000000001</v>
      </c>
      <c r="N273" s="1">
        <v>-31.807700000000001</v>
      </c>
    </row>
    <row r="274" spans="1:14" x14ac:dyDescent="0.4">
      <c r="B274" s="1">
        <v>13.85</v>
      </c>
      <c r="C274" s="1" t="s">
        <v>285</v>
      </c>
      <c r="D274" s="3">
        <f t="shared" si="29"/>
        <v>1986.4447299999999</v>
      </c>
      <c r="E274" s="1">
        <v>110.61750000000001</v>
      </c>
      <c r="F274" s="1">
        <v>10.6227</v>
      </c>
      <c r="G274" s="1">
        <v>8.6362000000000005</v>
      </c>
      <c r="H274" s="1">
        <v>24.066600000000001</v>
      </c>
      <c r="I274" s="1">
        <v>65.666200000000003</v>
      </c>
      <c r="J274" s="1">
        <f t="shared" si="27"/>
        <v>61.462735000000002</v>
      </c>
      <c r="K274" s="1">
        <v>4.6138100000000009</v>
      </c>
      <c r="L274" s="1">
        <f t="shared" si="28"/>
        <v>76.087873595505627</v>
      </c>
      <c r="M274" s="1">
        <v>-248.50279</v>
      </c>
      <c r="N274" s="1">
        <v>-31.5547</v>
      </c>
    </row>
    <row r="275" spans="1:14" x14ac:dyDescent="0.4">
      <c r="B275" s="1">
        <v>13.9</v>
      </c>
      <c r="C275" s="1" t="s">
        <v>286</v>
      </c>
      <c r="D275" s="3">
        <f t="shared" si="29"/>
        <v>1986.3336199999999</v>
      </c>
      <c r="E275" s="1">
        <v>16.950800000000001</v>
      </c>
      <c r="F275" s="1">
        <v>9.8002000000000002</v>
      </c>
      <c r="G275" s="1">
        <v>2.0585</v>
      </c>
      <c r="H275" s="1">
        <v>4.1311999999999998</v>
      </c>
      <c r="I275" s="1">
        <v>65.436899999999994</v>
      </c>
      <c r="J275" s="1">
        <f t="shared" si="27"/>
        <v>64.7927696</v>
      </c>
      <c r="K275" s="1">
        <v>4.5227199999999925</v>
      </c>
      <c r="L275" s="1">
        <f t="shared" si="28"/>
        <v>-19.449632359550563</v>
      </c>
      <c r="M275" s="1">
        <v>-243.87943000000001</v>
      </c>
      <c r="N275" s="1">
        <v>-31.269929999999999</v>
      </c>
    </row>
    <row r="276" spans="1:14" x14ac:dyDescent="0.4">
      <c r="B276" s="1">
        <v>13.95</v>
      </c>
      <c r="C276" s="1" t="s">
        <v>287</v>
      </c>
      <c r="D276" s="3">
        <f t="shared" si="29"/>
        <v>1986.2225099999998</v>
      </c>
      <c r="E276" s="1">
        <v>21.503299999999999</v>
      </c>
      <c r="F276" s="1">
        <v>7.0773999999999999</v>
      </c>
      <c r="G276" s="1">
        <v>7.3372000000000002</v>
      </c>
      <c r="H276" s="1">
        <v>5.8467000000000002</v>
      </c>
      <c r="I276" s="1">
        <v>68.113100000000003</v>
      </c>
      <c r="J276" s="1">
        <f t="shared" si="27"/>
        <v>67.295974600000008</v>
      </c>
      <c r="K276" s="1">
        <v>4.1629399999999919</v>
      </c>
      <c r="L276" s="1">
        <f t="shared" si="28"/>
        <v>-16.303427303370793</v>
      </c>
      <c r="M276" s="1">
        <v>-236.18836999999999</v>
      </c>
      <c r="N276" s="1">
        <v>-29.981649999999998</v>
      </c>
    </row>
    <row r="277" spans="1:14" x14ac:dyDescent="0.4">
      <c r="B277" s="1">
        <v>14</v>
      </c>
      <c r="C277" s="1" t="s">
        <v>288</v>
      </c>
      <c r="D277" s="3">
        <f t="shared" si="29"/>
        <v>1986.1114</v>
      </c>
      <c r="E277" s="1">
        <v>28.392199999999999</v>
      </c>
      <c r="F277" s="1">
        <v>6.3581000000000003</v>
      </c>
      <c r="G277" s="1">
        <v>7.0373999999999999</v>
      </c>
      <c r="H277" s="1">
        <v>5.5002000000000004</v>
      </c>
      <c r="I277" s="1">
        <v>72.451300000000003</v>
      </c>
      <c r="J277" s="1">
        <f t="shared" si="27"/>
        <v>71.3723964</v>
      </c>
      <c r="K277" s="1">
        <v>3.9348099999999988</v>
      </c>
      <c r="L277" s="1">
        <f t="shared" si="28"/>
        <v>-11.704651910112357</v>
      </c>
      <c r="M277" s="1">
        <v>-225.76508999999999</v>
      </c>
      <c r="N277" s="1">
        <v>-28.546289999999999</v>
      </c>
    </row>
    <row r="278" spans="1:14" x14ac:dyDescent="0.4">
      <c r="A278" s="1">
        <v>1986</v>
      </c>
      <c r="B278" s="1">
        <v>14.05</v>
      </c>
      <c r="C278" s="1" t="s">
        <v>289</v>
      </c>
      <c r="D278" s="3">
        <f>-2.22222*B278+2017.2222</f>
        <v>1986.0000089999999</v>
      </c>
      <c r="E278" s="1">
        <v>56.716999999999999</v>
      </c>
      <c r="F278" s="1">
        <v>61.226500000000001</v>
      </c>
      <c r="G278" s="1">
        <v>10.8705</v>
      </c>
      <c r="H278" s="1">
        <v>9.9959000000000007</v>
      </c>
      <c r="I278" s="1">
        <v>81.814899999999994</v>
      </c>
      <c r="J278" s="1">
        <f t="shared" si="27"/>
        <v>79.659653999999989</v>
      </c>
      <c r="K278" s="1">
        <v>6.2800099999999759</v>
      </c>
      <c r="L278" s="1">
        <f t="shared" si="28"/>
        <v>11.964385393258432</v>
      </c>
      <c r="M278" s="1">
        <v>-221.60136</v>
      </c>
      <c r="N278" s="1">
        <v>-27.812919999999998</v>
      </c>
    </row>
    <row r="279" spans="1:14" x14ac:dyDescent="0.4">
      <c r="B279" s="1">
        <v>14.1</v>
      </c>
      <c r="C279" s="1" t="s">
        <v>290</v>
      </c>
      <c r="D279" s="3">
        <f t="shared" ref="D279:D286" si="30">-2.22222*B279+2017.2222</f>
        <v>1985.8888979999999</v>
      </c>
      <c r="E279" s="1">
        <v>19.492799999999999</v>
      </c>
      <c r="F279" s="1">
        <v>9.2462999999999997</v>
      </c>
      <c r="G279" s="1">
        <v>5.8582999999999998</v>
      </c>
      <c r="H279" s="1">
        <v>6.7053000000000003</v>
      </c>
      <c r="I279" s="1">
        <v>49.946899999999999</v>
      </c>
      <c r="J279" s="1">
        <f t="shared" si="27"/>
        <v>49.2061736</v>
      </c>
      <c r="K279" s="1">
        <v>3.6648299999999949</v>
      </c>
      <c r="L279" s="1">
        <f t="shared" si="28"/>
        <v>-8.1511177528089895</v>
      </c>
      <c r="M279" s="1">
        <v>-222.94459000000001</v>
      </c>
      <c r="N279" s="1">
        <v>-27.998360000000002</v>
      </c>
    </row>
    <row r="280" spans="1:14" x14ac:dyDescent="0.4">
      <c r="B280" s="1">
        <v>14.15</v>
      </c>
      <c r="C280" s="1" t="s">
        <v>291</v>
      </c>
      <c r="D280" s="3">
        <f t="shared" si="30"/>
        <v>1985.777787</v>
      </c>
      <c r="E280" s="1">
        <v>15.4975</v>
      </c>
      <c r="F280" s="1">
        <v>38.2943</v>
      </c>
      <c r="G280" s="1">
        <v>4.8316999999999997</v>
      </c>
      <c r="H280" s="1">
        <v>7.3864999999999998</v>
      </c>
      <c r="I280" s="1">
        <v>72.048400000000001</v>
      </c>
      <c r="J280" s="1">
        <f t="shared" si="27"/>
        <v>71.459495000000004</v>
      </c>
      <c r="K280" s="1">
        <v>2.6052300000000059</v>
      </c>
      <c r="L280" s="1">
        <f t="shared" si="28"/>
        <v>-24.648283707865168</v>
      </c>
      <c r="M280" s="1">
        <v>-232.02838</v>
      </c>
      <c r="N280" s="1">
        <v>-28.926159999999999</v>
      </c>
    </row>
    <row r="281" spans="1:14" x14ac:dyDescent="0.4">
      <c r="B281" s="1">
        <v>14.2</v>
      </c>
      <c r="C281" s="1" t="s">
        <v>292</v>
      </c>
      <c r="D281" s="3">
        <f t="shared" si="30"/>
        <v>1985.6666759999998</v>
      </c>
      <c r="E281" s="1">
        <v>15.873699999999999</v>
      </c>
      <c r="F281" s="1">
        <v>5.2868000000000004</v>
      </c>
      <c r="G281" s="1">
        <v>5.3781999999999996</v>
      </c>
      <c r="H281" s="1">
        <v>4.8930999999999996</v>
      </c>
      <c r="I281" s="1">
        <v>55.849699999999999</v>
      </c>
      <c r="J281" s="1">
        <f t="shared" si="27"/>
        <v>55.246499399999998</v>
      </c>
      <c r="K281" s="1">
        <v>0.90199999999998681</v>
      </c>
      <c r="L281" s="1">
        <f t="shared" si="28"/>
        <v>-15.163659213483143</v>
      </c>
      <c r="M281" s="1">
        <v>-233.40868</v>
      </c>
      <c r="N281" s="1">
        <v>-30.40258</v>
      </c>
    </row>
    <row r="282" spans="1:14" x14ac:dyDescent="0.4">
      <c r="B282" s="1">
        <v>14.25</v>
      </c>
      <c r="C282" s="1" t="s">
        <v>293</v>
      </c>
      <c r="D282" s="3">
        <f t="shared" si="30"/>
        <v>1985.5555649999999</v>
      </c>
      <c r="E282" s="1">
        <v>26.614999999999998</v>
      </c>
      <c r="F282" s="1">
        <v>13.0703</v>
      </c>
      <c r="G282" s="1">
        <v>4.7319000000000004</v>
      </c>
      <c r="H282" s="1">
        <v>5.4077000000000002</v>
      </c>
      <c r="I282" s="1">
        <v>41.579099999999997</v>
      </c>
      <c r="J282" s="1">
        <f t="shared" si="27"/>
        <v>40.567729999999997</v>
      </c>
      <c r="K282" s="1">
        <v>1.0422900000000084</v>
      </c>
      <c r="L282" s="1">
        <f t="shared" si="28"/>
        <v>3.8241404494382039</v>
      </c>
      <c r="M282" s="1">
        <v>-238.49301</v>
      </c>
      <c r="N282" s="1">
        <v>-29.228629999999999</v>
      </c>
    </row>
    <row r="283" spans="1:14" x14ac:dyDescent="0.4">
      <c r="B283" s="1">
        <v>14.3</v>
      </c>
      <c r="C283" s="1" t="s">
        <v>294</v>
      </c>
      <c r="D283" s="3">
        <f t="shared" si="30"/>
        <v>1985.444454</v>
      </c>
      <c r="E283" s="1">
        <v>28.909400000000002</v>
      </c>
      <c r="F283" s="1">
        <v>14.3453</v>
      </c>
      <c r="G283" s="1">
        <v>7.1271000000000004</v>
      </c>
      <c r="H283" s="1">
        <v>9.8062000000000005</v>
      </c>
      <c r="I283" s="1">
        <v>47.386400000000002</v>
      </c>
      <c r="J283" s="1">
        <f t="shared" si="27"/>
        <v>46.2878428</v>
      </c>
      <c r="K283" s="1">
        <v>-0.61910000000000309</v>
      </c>
      <c r="L283" s="1">
        <f t="shared" si="28"/>
        <v>2.9049939325842722</v>
      </c>
      <c r="M283" s="1">
        <v>-246.69497000000001</v>
      </c>
      <c r="N283" s="1">
        <v>-29.89217</v>
      </c>
    </row>
    <row r="284" spans="1:14" x14ac:dyDescent="0.4">
      <c r="B284" s="1">
        <v>14.35</v>
      </c>
      <c r="C284" s="1" t="s">
        <v>295</v>
      </c>
      <c r="D284" s="3">
        <f t="shared" si="30"/>
        <v>1985.333343</v>
      </c>
      <c r="E284" s="1">
        <v>18.2148</v>
      </c>
      <c r="F284" s="1">
        <v>19.292100000000001</v>
      </c>
      <c r="G284" s="1">
        <v>5.9607000000000001</v>
      </c>
      <c r="H284" s="1">
        <v>5.2061000000000002</v>
      </c>
      <c r="I284" s="1">
        <v>88.059100000000001</v>
      </c>
      <c r="J284" s="1">
        <f t="shared" si="27"/>
        <v>87.3669376</v>
      </c>
      <c r="K284" s="1">
        <v>9.8119599999999991</v>
      </c>
      <c r="L284" s="1">
        <f t="shared" si="28"/>
        <v>-30.867749213483147</v>
      </c>
      <c r="M284" s="1">
        <v>-254.13238999999999</v>
      </c>
      <c r="N284" s="1">
        <v>-30.999410000000001</v>
      </c>
    </row>
    <row r="285" spans="1:14" x14ac:dyDescent="0.4">
      <c r="B285" s="1">
        <v>14.4</v>
      </c>
      <c r="C285" s="1" t="s">
        <v>296</v>
      </c>
      <c r="D285" s="3">
        <f t="shared" si="30"/>
        <v>1985.2222319999998</v>
      </c>
      <c r="E285" s="1">
        <v>11.5002</v>
      </c>
      <c r="F285" s="1">
        <v>8.1732999999999993</v>
      </c>
      <c r="G285" s="1">
        <v>4.3517999999999999</v>
      </c>
      <c r="H285" s="1">
        <v>3.3292000000000002</v>
      </c>
      <c r="I285" s="1">
        <v>67.412199999999999</v>
      </c>
      <c r="J285" s="1">
        <f t="shared" si="27"/>
        <v>66.975192399999997</v>
      </c>
      <c r="K285" s="1">
        <v>-4.6639700000000062</v>
      </c>
      <c r="L285" s="1">
        <f t="shared" si="28"/>
        <v>-26.126312584269662</v>
      </c>
      <c r="M285" s="1">
        <v>-242.92252999999999</v>
      </c>
      <c r="N285" s="1">
        <v>-31.901399999999999</v>
      </c>
    </row>
    <row r="286" spans="1:14" x14ac:dyDescent="0.4">
      <c r="B286" s="1">
        <v>14.45</v>
      </c>
      <c r="C286" s="1" t="s">
        <v>297</v>
      </c>
      <c r="D286" s="3">
        <f t="shared" si="30"/>
        <v>1985.1111209999999</v>
      </c>
      <c r="E286" s="1">
        <v>39.820599999999999</v>
      </c>
      <c r="F286" s="1">
        <v>42.627600000000001</v>
      </c>
      <c r="G286" s="1">
        <v>17.118099999999998</v>
      </c>
      <c r="H286" s="1">
        <v>8.1835000000000004</v>
      </c>
      <c r="I286" s="1">
        <v>112.5339</v>
      </c>
      <c r="J286" s="1">
        <f t="shared" si="27"/>
        <v>111.02071720000001</v>
      </c>
      <c r="K286" s="1">
        <v>-7.557610000000011</v>
      </c>
      <c r="L286" s="1">
        <f t="shared" si="28"/>
        <v>-22.550589438202252</v>
      </c>
      <c r="M286" s="1">
        <v>-256.24704000000003</v>
      </c>
      <c r="N286" s="1">
        <v>-31.928249999999998</v>
      </c>
    </row>
    <row r="287" spans="1:14" x14ac:dyDescent="0.4">
      <c r="A287" s="1">
        <v>1985</v>
      </c>
      <c r="B287" s="1">
        <v>14.5</v>
      </c>
      <c r="C287" s="1" t="s">
        <v>298</v>
      </c>
      <c r="D287" s="3">
        <f>-2.857143*B287+2026.428571</f>
        <v>1984.9999974999998</v>
      </c>
      <c r="E287" s="1">
        <v>73.273799999999994</v>
      </c>
      <c r="F287" s="1">
        <v>1.2206999999999999</v>
      </c>
      <c r="G287" s="1">
        <v>4.2382</v>
      </c>
      <c r="H287" s="1">
        <v>13.037800000000001</v>
      </c>
      <c r="I287" s="1">
        <v>60.864800000000002</v>
      </c>
      <c r="J287" s="1">
        <f t="shared" si="27"/>
        <v>58.080395600000003</v>
      </c>
      <c r="K287" s="1">
        <v>-6.1371099999999785</v>
      </c>
      <c r="L287" s="1">
        <f t="shared" si="28"/>
        <v>40.644364269662915</v>
      </c>
      <c r="M287" s="1">
        <v>-232.11891</v>
      </c>
      <c r="N287" s="1">
        <v>-29.421900000000001</v>
      </c>
    </row>
    <row r="288" spans="1:14" x14ac:dyDescent="0.4">
      <c r="B288" s="1">
        <v>14.55</v>
      </c>
      <c r="C288" s="1" t="s">
        <v>299</v>
      </c>
      <c r="D288" s="3">
        <f t="shared" ref="D288:D293" si="31">-2.857143*B288+2026.428571</f>
        <v>1984.85714035</v>
      </c>
      <c r="E288" s="1">
        <v>25.2378</v>
      </c>
      <c r="F288" s="1">
        <v>14.927099999999999</v>
      </c>
      <c r="G288" s="1">
        <v>14.2003</v>
      </c>
      <c r="H288" s="1">
        <v>5.6355000000000004</v>
      </c>
      <c r="I288" s="1">
        <v>181.67429999999999</v>
      </c>
      <c r="J288" s="1">
        <f t="shared" si="27"/>
        <v>180.71526359999999</v>
      </c>
      <c r="K288" s="1">
        <v>12.288669999999996</v>
      </c>
      <c r="L288" s="1">
        <f t="shared" si="28"/>
        <v>-76.287628988764027</v>
      </c>
      <c r="M288" s="1">
        <v>-235.04443000000001</v>
      </c>
      <c r="N288" s="1">
        <v>-29.528880000000001</v>
      </c>
    </row>
    <row r="289" spans="1:14" x14ac:dyDescent="0.4">
      <c r="B289" s="1">
        <v>14.6</v>
      </c>
      <c r="C289" s="1" t="s">
        <v>300</v>
      </c>
      <c r="D289" s="3">
        <f t="shared" si="31"/>
        <v>1984.7142832</v>
      </c>
      <c r="E289" s="1">
        <v>21.6372</v>
      </c>
      <c r="F289" s="1">
        <v>18.849900000000002</v>
      </c>
      <c r="G289" s="1">
        <v>3.8546</v>
      </c>
      <c r="H289" s="1">
        <v>5.3246000000000002</v>
      </c>
      <c r="I289" s="1">
        <v>66.729200000000006</v>
      </c>
      <c r="J289" s="1">
        <f t="shared" si="27"/>
        <v>65.906986400000008</v>
      </c>
      <c r="K289" s="1">
        <v>-0.82104000000003907</v>
      </c>
      <c r="L289" s="1">
        <f t="shared" si="28"/>
        <v>-15.389196853932589</v>
      </c>
      <c r="M289" s="1">
        <v>-242.88300000000001</v>
      </c>
      <c r="N289" s="1">
        <v>-30.229520000000001</v>
      </c>
    </row>
    <row r="290" spans="1:14" x14ac:dyDescent="0.4">
      <c r="B290" s="1">
        <v>14.65</v>
      </c>
      <c r="C290" s="1" t="s">
        <v>301</v>
      </c>
      <c r="D290" s="3">
        <f t="shared" si="31"/>
        <v>1984.5714260499999</v>
      </c>
      <c r="E290" s="1">
        <v>42.147300000000001</v>
      </c>
      <c r="F290" s="1">
        <v>9.6975999999999996</v>
      </c>
      <c r="G290" s="1">
        <v>4.6417000000000002</v>
      </c>
      <c r="H290" s="1">
        <v>7.1780999999999997</v>
      </c>
      <c r="I290" s="1">
        <v>71.3322</v>
      </c>
      <c r="J290" s="1">
        <f t="shared" si="27"/>
        <v>69.730602599999997</v>
      </c>
      <c r="K290" s="1">
        <v>3.256290000000007</v>
      </c>
      <c r="L290" s="1">
        <f t="shared" si="28"/>
        <v>2.9728041573033721</v>
      </c>
      <c r="M290" s="1">
        <v>-242.23674</v>
      </c>
      <c r="N290" s="1">
        <v>-30.677700000000002</v>
      </c>
    </row>
    <row r="291" spans="1:14" x14ac:dyDescent="0.4">
      <c r="B291" s="1">
        <v>14.7</v>
      </c>
      <c r="C291" s="1" t="s">
        <v>302</v>
      </c>
      <c r="D291" s="3">
        <f t="shared" si="31"/>
        <v>1984.4285688999998</v>
      </c>
      <c r="E291" s="1">
        <v>21.3993</v>
      </c>
      <c r="F291" s="1">
        <v>10.3703</v>
      </c>
      <c r="G291" s="1">
        <v>2.4653</v>
      </c>
      <c r="H291" s="1">
        <v>4.5898000000000003</v>
      </c>
      <c r="I291" s="1">
        <v>20.547499999999999</v>
      </c>
      <c r="J291" s="1">
        <f t="shared" si="27"/>
        <v>19.734326599999999</v>
      </c>
      <c r="K291" s="1">
        <v>1.1866100000000017</v>
      </c>
      <c r="L291" s="1">
        <f t="shared" si="28"/>
        <v>10.312599662921349</v>
      </c>
      <c r="M291" s="1">
        <v>-238.71933999999999</v>
      </c>
      <c r="N291" s="1">
        <v>-30.574439999999999</v>
      </c>
    </row>
    <row r="292" spans="1:14" x14ac:dyDescent="0.4">
      <c r="B292" s="1">
        <v>14.75</v>
      </c>
      <c r="C292" s="1" t="s">
        <v>303</v>
      </c>
      <c r="D292" s="3">
        <f t="shared" si="31"/>
        <v>1984.28571175</v>
      </c>
      <c r="E292" s="1">
        <v>22.290299999999998</v>
      </c>
      <c r="F292" s="1">
        <v>51.711199999999998</v>
      </c>
      <c r="G292" s="1">
        <v>3.6252</v>
      </c>
      <c r="H292" s="1">
        <v>3.5783999999999998</v>
      </c>
      <c r="I292" s="1">
        <v>30.148700000000002</v>
      </c>
      <c r="J292" s="1">
        <f t="shared" si="27"/>
        <v>29.301668600000003</v>
      </c>
      <c r="K292" s="1">
        <v>-1.0468400000000031</v>
      </c>
      <c r="L292" s="1">
        <f t="shared" si="28"/>
        <v>5.8286884269662878</v>
      </c>
      <c r="M292" s="1">
        <v>-225.76432</v>
      </c>
      <c r="N292" s="1">
        <v>-30.41527</v>
      </c>
    </row>
    <row r="293" spans="1:14" x14ac:dyDescent="0.4">
      <c r="B293" s="1">
        <v>14.8</v>
      </c>
      <c r="C293" s="1" t="s">
        <v>304</v>
      </c>
      <c r="D293" s="3">
        <f t="shared" si="31"/>
        <v>1984.1428546</v>
      </c>
      <c r="E293" s="1">
        <v>26.3203</v>
      </c>
      <c r="F293" s="1">
        <v>4.2442000000000002</v>
      </c>
      <c r="G293" s="1">
        <v>3.8355999999999999</v>
      </c>
      <c r="H293" s="1">
        <v>5.0715000000000003</v>
      </c>
      <c r="I293" s="1">
        <v>30.168399999999998</v>
      </c>
      <c r="J293" s="1">
        <f t="shared" si="27"/>
        <v>29.168228599999999</v>
      </c>
      <c r="K293" s="1">
        <v>3.1848600000000147</v>
      </c>
      <c r="L293" s="1">
        <f t="shared" si="28"/>
        <v>9.9336547191011242</v>
      </c>
      <c r="M293" s="1">
        <v>-239.35106999999999</v>
      </c>
      <c r="N293" s="1">
        <v>-28.757829999999998</v>
      </c>
    </row>
    <row r="294" spans="1:14" x14ac:dyDescent="0.4">
      <c r="A294" s="1">
        <v>1984</v>
      </c>
      <c r="B294" s="1">
        <v>14.85</v>
      </c>
      <c r="C294" s="1" t="s">
        <v>305</v>
      </c>
      <c r="D294" s="3">
        <f>-1.33333*B294+2003.8</f>
        <v>1984.0000494999999</v>
      </c>
      <c r="E294" s="1">
        <v>38.251199999999997</v>
      </c>
      <c r="F294" s="1">
        <v>10.481999999999999</v>
      </c>
      <c r="G294" s="1">
        <v>4.4333999999999998</v>
      </c>
      <c r="H294" s="1">
        <v>6.9772999999999996</v>
      </c>
      <c r="I294" s="1">
        <v>32.031599999999997</v>
      </c>
      <c r="J294" s="1">
        <f t="shared" si="27"/>
        <v>30.578054399999999</v>
      </c>
      <c r="K294" s="1">
        <v>5.8761800000000051</v>
      </c>
      <c r="L294" s="1">
        <f t="shared" si="28"/>
        <v>21.072517752808988</v>
      </c>
      <c r="M294" s="1">
        <v>-219.63208</v>
      </c>
      <c r="N294" s="1">
        <v>-28.268149999999999</v>
      </c>
    </row>
    <row r="295" spans="1:14" x14ac:dyDescent="0.4">
      <c r="B295" s="1">
        <v>14.9</v>
      </c>
      <c r="C295" s="1" t="s">
        <v>306</v>
      </c>
      <c r="D295" s="3">
        <f t="shared" ref="D295:D307" si="32">-1.33333*B295+2003.8</f>
        <v>1983.933383</v>
      </c>
      <c r="E295" s="1">
        <v>34.209699999999998</v>
      </c>
      <c r="F295" s="1">
        <v>4.7466999999999997</v>
      </c>
      <c r="G295" s="1">
        <v>3.1194000000000002</v>
      </c>
      <c r="H295" s="1">
        <v>6.2290999999999999</v>
      </c>
      <c r="I295" s="1">
        <v>55.063899999999997</v>
      </c>
      <c r="J295" s="1">
        <f t="shared" si="27"/>
        <v>53.763931399999997</v>
      </c>
      <c r="K295" s="1">
        <v>17.557839999999999</v>
      </c>
      <c r="L295" s="1">
        <f t="shared" si="28"/>
        <v>4.0052441573033697</v>
      </c>
      <c r="M295" s="1">
        <v>-221.05160000000001</v>
      </c>
      <c r="N295" s="1">
        <v>-28.296679999999999</v>
      </c>
    </row>
    <row r="296" spans="1:14" x14ac:dyDescent="0.4">
      <c r="B296" s="1">
        <v>14.95</v>
      </c>
      <c r="C296" s="1" t="s">
        <v>307</v>
      </c>
      <c r="D296" s="3">
        <f t="shared" si="32"/>
        <v>1983.8667164999999</v>
      </c>
      <c r="E296" s="1">
        <v>36.580399999999997</v>
      </c>
      <c r="F296" s="1">
        <v>50.532200000000003</v>
      </c>
      <c r="G296" s="1">
        <v>5.1470000000000002</v>
      </c>
      <c r="H296" s="1">
        <v>5.3564999999999996</v>
      </c>
      <c r="I296" s="1">
        <v>42.049900000000001</v>
      </c>
      <c r="J296" s="1">
        <f t="shared" si="27"/>
        <v>40.659844800000002</v>
      </c>
      <c r="K296" s="1">
        <v>-9.2884300000000053</v>
      </c>
      <c r="L296" s="1">
        <f t="shared" si="28"/>
        <v>13.737790561797748</v>
      </c>
      <c r="M296" s="1">
        <v>-222.7868</v>
      </c>
      <c r="N296" s="1">
        <v>-29.208010000000002</v>
      </c>
    </row>
    <row r="297" spans="1:14" x14ac:dyDescent="0.4">
      <c r="B297" s="1">
        <v>15</v>
      </c>
      <c r="C297" s="1" t="s">
        <v>308</v>
      </c>
      <c r="D297" s="3">
        <f t="shared" si="32"/>
        <v>1983.8000500000001</v>
      </c>
      <c r="E297" s="1">
        <v>9.0463000000000005</v>
      </c>
      <c r="F297" s="1">
        <v>4.2226999999999997</v>
      </c>
      <c r="G297" s="1">
        <v>2.5158</v>
      </c>
      <c r="H297" s="1">
        <v>2.2421000000000002</v>
      </c>
      <c r="I297" s="1">
        <v>51.538699999999999</v>
      </c>
      <c r="J297" s="1">
        <f t="shared" si="27"/>
        <v>51.194940599999995</v>
      </c>
      <c r="K297" s="1">
        <v>6.5131199999999865</v>
      </c>
      <c r="L297" s="1">
        <f t="shared" si="28"/>
        <v>-19.714902584269659</v>
      </c>
      <c r="M297" s="1">
        <v>-243.89709999999999</v>
      </c>
      <c r="N297" s="1">
        <v>-30.215489999999999</v>
      </c>
    </row>
    <row r="298" spans="1:14" x14ac:dyDescent="0.4">
      <c r="B298" s="1">
        <v>15.05</v>
      </c>
      <c r="C298" s="1" t="s">
        <v>309</v>
      </c>
      <c r="D298" s="3">
        <f t="shared" si="32"/>
        <v>1983.7333834999999</v>
      </c>
      <c r="E298" s="1">
        <v>31.572299999999998</v>
      </c>
      <c r="F298" s="1">
        <v>10.588100000000001</v>
      </c>
      <c r="G298" s="1">
        <v>6.0758999999999999</v>
      </c>
      <c r="H298" s="1">
        <v>9.1460000000000008</v>
      </c>
      <c r="I298" s="1">
        <v>103.3382</v>
      </c>
      <c r="J298" s="1">
        <f t="shared" si="27"/>
        <v>102.13845259999999</v>
      </c>
      <c r="K298" s="1">
        <v>5.3218399999999804</v>
      </c>
      <c r="L298" s="1">
        <f t="shared" si="28"/>
        <v>-25.808853146067413</v>
      </c>
      <c r="M298" s="1">
        <v>-256.86579999999998</v>
      </c>
      <c r="N298" s="1">
        <v>-31.60492</v>
      </c>
    </row>
    <row r="299" spans="1:14" x14ac:dyDescent="0.4">
      <c r="B299" s="1">
        <v>15.1</v>
      </c>
      <c r="C299" s="1" t="s">
        <v>310</v>
      </c>
      <c r="D299" s="3">
        <f t="shared" si="32"/>
        <v>1983.6667170000001</v>
      </c>
      <c r="E299" s="1">
        <v>119.8604</v>
      </c>
      <c r="F299" s="1">
        <v>11.684200000000001</v>
      </c>
      <c r="G299" s="1">
        <v>5.1928000000000001</v>
      </c>
      <c r="H299" s="1">
        <v>15.900600000000001</v>
      </c>
      <c r="I299" s="1">
        <v>62.248800000000003</v>
      </c>
      <c r="J299" s="1">
        <f t="shared" si="27"/>
        <v>57.694104800000005</v>
      </c>
      <c r="K299" s="1">
        <v>10.877280000000013</v>
      </c>
      <c r="L299" s="1">
        <f t="shared" si="28"/>
        <v>87.447981573033701</v>
      </c>
      <c r="M299" s="1">
        <v>-262.59604000000002</v>
      </c>
      <c r="N299" s="1">
        <v>-32.421410000000002</v>
      </c>
    </row>
    <row r="300" spans="1:14" x14ac:dyDescent="0.4">
      <c r="B300" s="1">
        <v>15.15</v>
      </c>
      <c r="C300" s="1" t="s">
        <v>311</v>
      </c>
      <c r="D300" s="3">
        <f t="shared" si="32"/>
        <v>1983.6000505</v>
      </c>
      <c r="E300" s="1">
        <v>110.7371</v>
      </c>
      <c r="F300" s="1">
        <v>16.843499999999999</v>
      </c>
      <c r="G300" s="1">
        <v>6.5842000000000001</v>
      </c>
      <c r="H300" s="1">
        <v>22.2043</v>
      </c>
      <c r="I300" s="1">
        <v>68.9893</v>
      </c>
      <c r="J300" s="1">
        <f t="shared" si="27"/>
        <v>64.781290200000001</v>
      </c>
      <c r="K300" s="1">
        <v>-2.1731800000000021</v>
      </c>
      <c r="L300" s="1">
        <f t="shared" si="28"/>
        <v>74.343116741573027</v>
      </c>
      <c r="M300" s="1">
        <v>-260.86313999999999</v>
      </c>
      <c r="N300" s="1">
        <v>-32.351170000000003</v>
      </c>
    </row>
    <row r="301" spans="1:14" x14ac:dyDescent="0.4">
      <c r="B301" s="1">
        <v>15.25</v>
      </c>
      <c r="C301" s="1" t="s">
        <v>312</v>
      </c>
      <c r="D301" s="3">
        <f t="shared" si="32"/>
        <v>1983.4667175</v>
      </c>
      <c r="E301" s="1">
        <v>185.73320000000001</v>
      </c>
      <c r="F301" s="1">
        <v>9.0861999999999998</v>
      </c>
      <c r="G301" s="1">
        <v>6.8708</v>
      </c>
      <c r="H301" s="1">
        <v>25.030999999999999</v>
      </c>
      <c r="I301" s="1">
        <v>80.827799999999996</v>
      </c>
      <c r="J301" s="1">
        <f t="shared" si="27"/>
        <v>73.769938400000001</v>
      </c>
      <c r="K301" s="1">
        <v>-4.0264399999999796</v>
      </c>
      <c r="L301" s="1">
        <f t="shared" si="28"/>
        <v>144.28941438202247</v>
      </c>
      <c r="M301" s="1">
        <v>-257.06871000000001</v>
      </c>
      <c r="N301" s="1">
        <v>-32.08867</v>
      </c>
    </row>
    <row r="302" spans="1:14" x14ac:dyDescent="0.4">
      <c r="B302" s="1">
        <v>15.3</v>
      </c>
      <c r="C302" s="1" t="s">
        <v>313</v>
      </c>
      <c r="D302" s="3">
        <f t="shared" si="32"/>
        <v>1983.4000509999998</v>
      </c>
      <c r="E302" s="1">
        <v>127.8665</v>
      </c>
      <c r="F302" s="1">
        <v>15.0784</v>
      </c>
      <c r="G302" s="1">
        <v>7.7687999999999997</v>
      </c>
      <c r="H302" s="1">
        <v>24.762899999999998</v>
      </c>
      <c r="I302" s="1">
        <v>96.684299999999993</v>
      </c>
      <c r="J302" s="1">
        <f t="shared" si="27"/>
        <v>91.825372999999999</v>
      </c>
      <c r="K302" s="1">
        <v>-3.2247600000000034</v>
      </c>
      <c r="L302" s="1">
        <f t="shared" si="28"/>
        <v>76.279211797752822</v>
      </c>
      <c r="M302" s="1">
        <v>-255.55568</v>
      </c>
      <c r="N302" s="1">
        <v>-31.879960000000001</v>
      </c>
    </row>
    <row r="303" spans="1:14" x14ac:dyDescent="0.4">
      <c r="B303" s="1">
        <v>15.35</v>
      </c>
      <c r="C303" s="1" t="s">
        <v>314</v>
      </c>
      <c r="D303" s="3">
        <f t="shared" si="32"/>
        <v>1983.3333845</v>
      </c>
      <c r="E303" s="1">
        <v>78.890699999999995</v>
      </c>
      <c r="F303" s="1">
        <v>10.1715</v>
      </c>
      <c r="G303" s="1">
        <v>8.3472000000000008</v>
      </c>
      <c r="H303" s="1">
        <v>12.0282</v>
      </c>
      <c r="I303" s="1">
        <v>61.7286</v>
      </c>
      <c r="J303" s="1">
        <f t="shared" si="27"/>
        <v>58.730753399999998</v>
      </c>
      <c r="K303" s="1">
        <v>-2.0537799999999606</v>
      </c>
      <c r="L303" s="1">
        <f t="shared" si="28"/>
        <v>45.895894719101122</v>
      </c>
      <c r="M303" s="1">
        <v>-256.54480999999998</v>
      </c>
      <c r="N303" s="1">
        <v>-31.959720000000001</v>
      </c>
    </row>
    <row r="304" spans="1:14" x14ac:dyDescent="0.4">
      <c r="B304" s="1">
        <v>15.4</v>
      </c>
      <c r="C304" s="1" t="s">
        <v>315</v>
      </c>
      <c r="D304" s="3">
        <f t="shared" si="32"/>
        <v>1983.2667179999999</v>
      </c>
      <c r="E304" s="1">
        <v>40.050400000000003</v>
      </c>
      <c r="F304" s="1">
        <v>7.9717000000000002</v>
      </c>
      <c r="G304" s="1">
        <v>5.4226999999999999</v>
      </c>
      <c r="H304" s="1">
        <v>11.4003</v>
      </c>
      <c r="I304" s="1">
        <v>55.1068</v>
      </c>
      <c r="J304" s="1">
        <f t="shared" si="27"/>
        <v>53.584884799999998</v>
      </c>
      <c r="K304" s="1">
        <v>-0.35935000000000628</v>
      </c>
      <c r="L304" s="1">
        <f t="shared" si="28"/>
        <v>9.9465321348314646</v>
      </c>
      <c r="M304" s="1">
        <v>-265.02591000000001</v>
      </c>
      <c r="N304" s="1">
        <v>-32.611969999999999</v>
      </c>
    </row>
    <row r="305" spans="1:14" x14ac:dyDescent="0.4">
      <c r="B305" s="1">
        <v>15.45</v>
      </c>
      <c r="C305" s="1" t="s">
        <v>316</v>
      </c>
      <c r="D305" s="3">
        <f t="shared" si="32"/>
        <v>1983.2000515</v>
      </c>
      <c r="E305" s="1">
        <v>148.3108</v>
      </c>
      <c r="F305" s="1">
        <v>6.4591000000000003</v>
      </c>
      <c r="G305" s="1">
        <v>6.65</v>
      </c>
      <c r="H305" s="1">
        <v>21.250900000000001</v>
      </c>
      <c r="I305" s="1">
        <v>20.482500000000002</v>
      </c>
      <c r="J305" s="1">
        <f t="shared" si="27"/>
        <v>14.846689600000001</v>
      </c>
      <c r="K305" s="1">
        <v>-0.51599999999999113</v>
      </c>
      <c r="L305" s="1">
        <f t="shared" si="28"/>
        <v>139.96996314606741</v>
      </c>
      <c r="M305" s="1">
        <v>-267.29933</v>
      </c>
      <c r="N305" s="1">
        <v>-33.010539999999999</v>
      </c>
    </row>
    <row r="306" spans="1:14" x14ac:dyDescent="0.4">
      <c r="B306" s="1">
        <v>15.5</v>
      </c>
      <c r="C306" s="1" t="s">
        <v>317</v>
      </c>
      <c r="D306" s="3">
        <f t="shared" si="32"/>
        <v>1983.1333849999999</v>
      </c>
      <c r="E306" s="1">
        <v>28.705100000000002</v>
      </c>
      <c r="F306" s="1">
        <v>7.4225000000000003</v>
      </c>
      <c r="G306" s="1">
        <v>1.9391</v>
      </c>
      <c r="H306" s="1">
        <v>6.3215000000000003</v>
      </c>
      <c r="I306" s="1">
        <v>26.793800000000001</v>
      </c>
      <c r="J306" s="1">
        <f t="shared" si="27"/>
        <v>25.703006200000001</v>
      </c>
      <c r="K306" s="1">
        <v>-0.86704999999997767</v>
      </c>
      <c r="L306" s="1">
        <f t="shared" si="28"/>
        <v>14.265208876404495</v>
      </c>
      <c r="M306" s="1">
        <v>-266.67667</v>
      </c>
      <c r="N306" s="1">
        <v>-32.937959999999997</v>
      </c>
    </row>
    <row r="307" spans="1:14" x14ac:dyDescent="0.4">
      <c r="B307" s="1">
        <v>15.55</v>
      </c>
      <c r="C307" s="1" t="s">
        <v>318</v>
      </c>
      <c r="D307" s="3">
        <f t="shared" si="32"/>
        <v>1983.0667185</v>
      </c>
      <c r="E307" s="1">
        <v>44.734499999999997</v>
      </c>
      <c r="F307" s="1">
        <v>18.018699999999999</v>
      </c>
      <c r="G307" s="1">
        <v>8.4781999999999993</v>
      </c>
      <c r="H307" s="1">
        <v>10.4217</v>
      </c>
      <c r="I307" s="1">
        <v>50.658099999999997</v>
      </c>
      <c r="J307" s="1">
        <f t="shared" si="27"/>
        <v>48.958188999999997</v>
      </c>
      <c r="K307" s="1">
        <v>-4.1301500000000146</v>
      </c>
      <c r="L307" s="1">
        <f t="shared" si="28"/>
        <v>17.229899438202246</v>
      </c>
      <c r="M307" s="1">
        <v>-263.50689</v>
      </c>
      <c r="N307" s="1">
        <v>-32.432250000000003</v>
      </c>
    </row>
    <row r="308" spans="1:14" x14ac:dyDescent="0.4">
      <c r="A308" s="1">
        <v>1983</v>
      </c>
      <c r="B308" s="1">
        <v>15.6</v>
      </c>
      <c r="C308" s="1" t="s">
        <v>319</v>
      </c>
      <c r="D308" s="3">
        <f>-1.538462*B308+2007</f>
        <v>1982.9999928</v>
      </c>
      <c r="E308" s="1">
        <v>99.929000000000002</v>
      </c>
      <c r="F308" s="1">
        <v>13.297800000000001</v>
      </c>
      <c r="G308" s="1">
        <v>24.2562</v>
      </c>
      <c r="H308" s="1">
        <v>2.1713</v>
      </c>
      <c r="I308" s="1">
        <v>56.713200000000001</v>
      </c>
      <c r="J308" s="1">
        <f t="shared" si="27"/>
        <v>52.915897999999999</v>
      </c>
      <c r="K308" s="1">
        <v>-3.2150100000000066</v>
      </c>
      <c r="L308" s="1">
        <f t="shared" si="28"/>
        <v>70.200967415730332</v>
      </c>
      <c r="M308" s="1">
        <v>-254.14636999999999</v>
      </c>
      <c r="N308" s="1">
        <v>-31.477270000000001</v>
      </c>
    </row>
    <row r="309" spans="1:14" x14ac:dyDescent="0.4">
      <c r="B309" s="1">
        <v>15.65</v>
      </c>
      <c r="C309" s="1" t="s">
        <v>320</v>
      </c>
      <c r="D309" s="3">
        <f t="shared" ref="D309:D320" si="33">-1.538462*B309+2007</f>
        <v>1982.9230697</v>
      </c>
      <c r="E309" s="1">
        <v>50.134799999999998</v>
      </c>
      <c r="F309" s="1">
        <v>33.608899999999998</v>
      </c>
      <c r="G309" s="1">
        <v>8.8733000000000004</v>
      </c>
      <c r="H309" s="1">
        <v>6.0324999999999998</v>
      </c>
      <c r="I309" s="1">
        <v>94.328199999999995</v>
      </c>
      <c r="J309" s="1">
        <f t="shared" si="27"/>
        <v>92.423077599999999</v>
      </c>
      <c r="K309" s="1">
        <v>-3.1729900000000271</v>
      </c>
      <c r="L309" s="1">
        <f t="shared" si="28"/>
        <v>-1.7882773033707835</v>
      </c>
      <c r="M309" s="1">
        <v>-236.91928999999999</v>
      </c>
      <c r="N309" s="1">
        <v>-29.6797</v>
      </c>
    </row>
    <row r="310" spans="1:14" x14ac:dyDescent="0.4">
      <c r="B310" s="1">
        <v>15.7</v>
      </c>
      <c r="C310" s="1" t="s">
        <v>321</v>
      </c>
      <c r="D310" s="3">
        <f t="shared" si="33"/>
        <v>1982.8461466000001</v>
      </c>
      <c r="E310" s="1">
        <v>111.3186</v>
      </c>
      <c r="F310" s="1">
        <v>18.7239</v>
      </c>
      <c r="G310" s="1">
        <v>8.9222000000000001</v>
      </c>
      <c r="H310" s="1">
        <v>14.976599999999999</v>
      </c>
      <c r="I310" s="1">
        <v>50.676499999999997</v>
      </c>
      <c r="J310" s="1">
        <f t="shared" si="27"/>
        <v>46.446393199999996</v>
      </c>
      <c r="K310" s="1">
        <v>-4.0488899999999717</v>
      </c>
      <c r="L310" s="1">
        <f t="shared" si="28"/>
        <v>85.22512067415731</v>
      </c>
      <c r="M310" s="1">
        <v>-242.60817</v>
      </c>
      <c r="N310" s="1">
        <v>-30.05584</v>
      </c>
    </row>
    <row r="311" spans="1:14" x14ac:dyDescent="0.4">
      <c r="B311" s="1">
        <v>15.75</v>
      </c>
      <c r="C311" s="1" t="s">
        <v>322</v>
      </c>
      <c r="D311" s="3">
        <f t="shared" si="33"/>
        <v>1982.7692235</v>
      </c>
      <c r="E311" s="1">
        <v>21.601400000000002</v>
      </c>
      <c r="F311" s="1">
        <v>17.224499999999999</v>
      </c>
      <c r="G311" s="1">
        <v>6.9935999999999998</v>
      </c>
      <c r="H311" s="1">
        <v>2.9910999999999999</v>
      </c>
      <c r="I311" s="1">
        <v>93.212999999999994</v>
      </c>
      <c r="J311" s="1">
        <f t="shared" si="27"/>
        <v>92.392146799999992</v>
      </c>
      <c r="K311" s="1">
        <v>-2.3282099999999843</v>
      </c>
      <c r="L311" s="1">
        <f t="shared" si="28"/>
        <v>-30.304300449438198</v>
      </c>
      <c r="M311" s="1">
        <v>-236.61059</v>
      </c>
      <c r="N311" s="1">
        <v>-29.62921</v>
      </c>
    </row>
    <row r="312" spans="1:14" x14ac:dyDescent="0.4">
      <c r="B312" s="1">
        <v>15.8</v>
      </c>
      <c r="C312" s="1" t="s">
        <v>323</v>
      </c>
      <c r="D312" s="3">
        <f t="shared" si="33"/>
        <v>1982.6923004</v>
      </c>
      <c r="E312" s="1">
        <v>85.259799999999998</v>
      </c>
      <c r="F312" s="1">
        <v>8.4700000000000006</v>
      </c>
      <c r="G312" s="1">
        <v>4.2411000000000003</v>
      </c>
      <c r="H312" s="1">
        <v>21.510300000000001</v>
      </c>
      <c r="I312" s="1">
        <v>63.228099999999998</v>
      </c>
      <c r="J312" s="1">
        <f t="shared" si="27"/>
        <v>59.988227599999995</v>
      </c>
      <c r="K312" s="1">
        <v>0.51831000000001382</v>
      </c>
      <c r="L312" s="1">
        <f t="shared" si="28"/>
        <v>51.558548539325848</v>
      </c>
      <c r="M312" s="1">
        <v>-235.58450999999999</v>
      </c>
      <c r="N312" s="1">
        <v>-29.776299999999999</v>
      </c>
    </row>
    <row r="313" spans="1:14" x14ac:dyDescent="0.4">
      <c r="B313" s="1">
        <v>15.85</v>
      </c>
      <c r="C313" s="1" t="s">
        <v>324</v>
      </c>
      <c r="D313" s="3">
        <f t="shared" si="33"/>
        <v>1982.6153773000001</v>
      </c>
      <c r="E313" s="1">
        <v>238.84549999999999</v>
      </c>
      <c r="F313" s="1">
        <v>10.819900000000001</v>
      </c>
      <c r="G313" s="1">
        <v>12.820399999999999</v>
      </c>
      <c r="H313" s="1">
        <v>20.036899999999999</v>
      </c>
      <c r="I313" s="1">
        <v>106.3848</v>
      </c>
      <c r="J313" s="1">
        <f t="shared" si="27"/>
        <v>97.308671000000004</v>
      </c>
      <c r="K313" s="1">
        <v>-2.1614500000000021</v>
      </c>
      <c r="L313" s="1">
        <f t="shared" si="28"/>
        <v>184.17770730337077</v>
      </c>
      <c r="M313" s="1">
        <v>-246.73121</v>
      </c>
      <c r="N313" s="1">
        <v>-31.028890000000001</v>
      </c>
    </row>
    <row r="314" spans="1:14" x14ac:dyDescent="0.4">
      <c r="B314" s="1">
        <v>15.9</v>
      </c>
      <c r="C314" s="1" t="s">
        <v>325</v>
      </c>
      <c r="D314" s="3">
        <f t="shared" si="33"/>
        <v>1982.5384541999999</v>
      </c>
      <c r="E314" s="1">
        <v>37.92</v>
      </c>
      <c r="F314" s="1">
        <v>7.0065</v>
      </c>
      <c r="G314" s="1">
        <v>1.8709</v>
      </c>
      <c r="H314" s="1">
        <v>10.167899999999999</v>
      </c>
      <c r="I314" s="1">
        <v>45.489699999999999</v>
      </c>
      <c r="J314" s="1">
        <f t="shared" si="27"/>
        <v>44.048740000000002</v>
      </c>
      <c r="K314" s="1">
        <v>0.42309000000000196</v>
      </c>
      <c r="L314" s="1">
        <f t="shared" si="28"/>
        <v>13.173516853932586</v>
      </c>
      <c r="M314" s="1">
        <v>-249.22935000000001</v>
      </c>
      <c r="N314" s="1">
        <v>-31.276520000000001</v>
      </c>
    </row>
    <row r="315" spans="1:14" x14ac:dyDescent="0.4">
      <c r="B315" s="1">
        <v>15.95</v>
      </c>
      <c r="C315" s="1" t="s">
        <v>326</v>
      </c>
      <c r="D315" s="3">
        <f t="shared" si="33"/>
        <v>1982.4615311</v>
      </c>
      <c r="E315" s="1">
        <v>255.24289999999999</v>
      </c>
      <c r="F315" s="1">
        <v>57.090600000000002</v>
      </c>
      <c r="G315" s="1">
        <v>14.5695</v>
      </c>
      <c r="H315" s="1">
        <v>27.047699999999999</v>
      </c>
      <c r="I315" s="1">
        <v>132.12270000000001</v>
      </c>
      <c r="J315" s="1">
        <f t="shared" si="27"/>
        <v>122.42346980000001</v>
      </c>
      <c r="K315" s="1">
        <v>2.6258899999999983</v>
      </c>
      <c r="L315" s="1">
        <f t="shared" si="28"/>
        <v>186.4656697752809</v>
      </c>
      <c r="M315" s="1">
        <v>-250.93156999999999</v>
      </c>
      <c r="N315" s="1">
        <v>-31.306629999999998</v>
      </c>
    </row>
    <row r="316" spans="1:14" x14ac:dyDescent="0.4">
      <c r="B316" s="1">
        <v>16</v>
      </c>
      <c r="C316" s="1" t="s">
        <v>327</v>
      </c>
      <c r="D316" s="3">
        <f t="shared" si="33"/>
        <v>1982.3846080000001</v>
      </c>
      <c r="E316" s="1">
        <v>33.066200000000002</v>
      </c>
      <c r="F316" s="1">
        <v>5.3940000000000001</v>
      </c>
      <c r="G316" s="1">
        <v>5.5808999999999997</v>
      </c>
      <c r="H316" s="1">
        <v>5.8784999999999998</v>
      </c>
      <c r="I316" s="1">
        <v>28.045300000000001</v>
      </c>
      <c r="J316" s="1">
        <f t="shared" si="27"/>
        <v>26.788784400000001</v>
      </c>
      <c r="K316" s="1">
        <v>1.4999099999999999</v>
      </c>
      <c r="L316" s="1">
        <f t="shared" si="28"/>
        <v>18.016321123595507</v>
      </c>
      <c r="M316" s="1">
        <v>-235.39382000000001</v>
      </c>
      <c r="N316" s="1">
        <v>-31.15643</v>
      </c>
    </row>
    <row r="317" spans="1:14" x14ac:dyDescent="0.4">
      <c r="B317" s="1">
        <v>16.05</v>
      </c>
      <c r="C317" s="1" t="s">
        <v>328</v>
      </c>
      <c r="D317" s="3">
        <f t="shared" si="33"/>
        <v>1982.3076848999999</v>
      </c>
      <c r="E317" s="1">
        <v>36.154800000000002</v>
      </c>
      <c r="F317" s="1">
        <v>54.7988</v>
      </c>
      <c r="G317" s="1">
        <v>4.1670999999999996</v>
      </c>
      <c r="H317" s="1">
        <v>4.0942999999999996</v>
      </c>
      <c r="I317" s="1">
        <v>105.18040000000001</v>
      </c>
      <c r="J317" s="1">
        <f t="shared" si="27"/>
        <v>103.80651760000001</v>
      </c>
      <c r="K317" s="1">
        <v>0.98281000000000063</v>
      </c>
      <c r="L317" s="1">
        <f t="shared" si="28"/>
        <v>-22.163468314606746</v>
      </c>
      <c r="M317" s="1">
        <v>-225.81344000000001</v>
      </c>
      <c r="N317" s="1">
        <v>-29.662929999999999</v>
      </c>
    </row>
    <row r="318" spans="1:14" x14ac:dyDescent="0.4">
      <c r="B318" s="1">
        <v>16.100000000000001</v>
      </c>
      <c r="C318" s="1" t="s">
        <v>329</v>
      </c>
      <c r="D318" s="3">
        <f t="shared" si="33"/>
        <v>1982.2307618</v>
      </c>
      <c r="E318" s="1">
        <v>28.5961</v>
      </c>
      <c r="F318" s="1">
        <v>8.8056000000000001</v>
      </c>
      <c r="G318" s="1">
        <v>3.6273</v>
      </c>
      <c r="H318" s="1">
        <v>6.9626999999999999</v>
      </c>
      <c r="I318" s="1">
        <v>78.513199999999998</v>
      </c>
      <c r="J318" s="1">
        <f t="shared" si="27"/>
        <v>77.426548199999999</v>
      </c>
      <c r="K318" s="1">
        <v>-0.47853000000000634</v>
      </c>
      <c r="L318" s="1">
        <f t="shared" si="28"/>
        <v>-14.901960786516852</v>
      </c>
      <c r="M318" s="1">
        <v>-237.02891</v>
      </c>
      <c r="N318" s="1">
        <v>-29.59863</v>
      </c>
    </row>
    <row r="319" spans="1:14" x14ac:dyDescent="0.4">
      <c r="B319" s="1">
        <v>16.149999999999999</v>
      </c>
      <c r="C319" s="1" t="s">
        <v>330</v>
      </c>
      <c r="D319" s="3">
        <f t="shared" si="33"/>
        <v>1982.1538387000001</v>
      </c>
      <c r="E319" s="1">
        <v>40.5867</v>
      </c>
      <c r="F319" s="1">
        <v>40.798000000000002</v>
      </c>
      <c r="G319" s="1">
        <v>6.5298999999999996</v>
      </c>
      <c r="H319" s="1">
        <v>3.7850000000000001</v>
      </c>
      <c r="I319" s="1">
        <v>98.432699999999997</v>
      </c>
      <c r="J319" s="1">
        <f t="shared" si="27"/>
        <v>96.890405399999992</v>
      </c>
      <c r="K319" s="1">
        <v>13.857619999999997</v>
      </c>
      <c r="L319" s="1">
        <f t="shared" si="28"/>
        <v>-13.846112022471907</v>
      </c>
      <c r="M319" s="1">
        <v>-230.60397</v>
      </c>
      <c r="N319" s="1">
        <v>-29.53726</v>
      </c>
    </row>
    <row r="320" spans="1:14" x14ac:dyDescent="0.4">
      <c r="B320" s="1">
        <v>16.2</v>
      </c>
      <c r="C320" s="1" t="s">
        <v>331</v>
      </c>
      <c r="D320" s="3">
        <f t="shared" si="33"/>
        <v>1982.0769155999999</v>
      </c>
      <c r="E320" s="1">
        <v>20.385999999999999</v>
      </c>
      <c r="F320" s="1">
        <v>8.3829999999999991</v>
      </c>
      <c r="G320" s="1">
        <v>3.7509000000000001</v>
      </c>
      <c r="H320" s="1">
        <v>4.1715999999999998</v>
      </c>
      <c r="I320" s="1">
        <v>44.975000000000001</v>
      </c>
      <c r="J320" s="1">
        <f t="shared" si="27"/>
        <v>44.200332000000003</v>
      </c>
      <c r="K320" s="1">
        <v>11.49</v>
      </c>
      <c r="L320" s="1">
        <f t="shared" si="28"/>
        <v>-4.4456471910112398</v>
      </c>
      <c r="M320" s="1">
        <v>-223.77545000000001</v>
      </c>
      <c r="N320" s="1">
        <v>-29.095700000000001</v>
      </c>
    </row>
    <row r="321" spans="1:14" x14ac:dyDescent="0.4">
      <c r="A321" s="1">
        <v>1982</v>
      </c>
      <c r="B321" s="1">
        <v>16.25</v>
      </c>
      <c r="C321" s="1" t="s">
        <v>332</v>
      </c>
      <c r="D321" s="3">
        <f>-1.818182*B321+2011.545455</f>
        <v>1981.9999975000001</v>
      </c>
      <c r="E321" s="1">
        <v>20.1633</v>
      </c>
      <c r="F321" s="1">
        <v>31.645700000000001</v>
      </c>
      <c r="G321" s="1">
        <v>3.9558</v>
      </c>
      <c r="H321" s="1">
        <v>2.1364000000000001</v>
      </c>
      <c r="I321" s="1">
        <v>30.9299</v>
      </c>
      <c r="J321" s="1">
        <f t="shared" si="27"/>
        <v>30.163694599999999</v>
      </c>
      <c r="K321" s="1">
        <v>-0.23986999999999625</v>
      </c>
      <c r="L321" s="1">
        <f t="shared" si="28"/>
        <v>3.2174041573033705</v>
      </c>
      <c r="N321" s="1">
        <v>-28.848569999999999</v>
      </c>
    </row>
    <row r="322" spans="1:14" x14ac:dyDescent="0.4">
      <c r="B322" s="1">
        <v>16.3</v>
      </c>
      <c r="C322" s="1" t="s">
        <v>333</v>
      </c>
      <c r="D322" s="3">
        <f t="shared" ref="D322:D331" si="34">-1.818182*B322+2011.545455</f>
        <v>1981.9090884</v>
      </c>
      <c r="E322" s="1">
        <v>17.426200000000001</v>
      </c>
      <c r="F322" s="1">
        <v>10.249599999999999</v>
      </c>
      <c r="G322" s="1">
        <v>3.7437</v>
      </c>
      <c r="H322" s="1">
        <v>5.3661000000000003</v>
      </c>
      <c r="I322" s="1">
        <v>55.750599999999999</v>
      </c>
      <c r="J322" s="1">
        <f t="shared" si="27"/>
        <v>55.088404400000002</v>
      </c>
      <c r="K322" s="1">
        <v>5.6941099999999949</v>
      </c>
      <c r="L322" s="1">
        <f t="shared" si="28"/>
        <v>-13.522341797752809</v>
      </c>
      <c r="M322" s="1">
        <v>-227.65164999999999</v>
      </c>
      <c r="N322" s="1">
        <v>-28.44605</v>
      </c>
    </row>
    <row r="323" spans="1:14" x14ac:dyDescent="0.4">
      <c r="B323" s="1">
        <v>16.350000000000001</v>
      </c>
      <c r="C323" s="1" t="s">
        <v>334</v>
      </c>
      <c r="D323" s="3">
        <f t="shared" si="34"/>
        <v>1981.8181792999999</v>
      </c>
      <c r="E323" s="1">
        <v>23.889099999999999</v>
      </c>
      <c r="F323" s="1">
        <v>40.092500000000001</v>
      </c>
      <c r="G323" s="1">
        <v>5.242</v>
      </c>
      <c r="H323" s="1">
        <v>2.9279999999999999</v>
      </c>
      <c r="I323" s="1">
        <v>89.476200000000006</v>
      </c>
      <c r="J323" s="1">
        <f t="shared" ref="J323:J386" si="35">I323-0.038*E323</f>
        <v>88.568414200000007</v>
      </c>
      <c r="K323" s="1">
        <v>8.9901499999999999</v>
      </c>
      <c r="L323" s="1">
        <f t="shared" ref="L323:L386" si="36">E323-(J323/1.78)</f>
        <v>-25.868436067415736</v>
      </c>
      <c r="M323" s="1">
        <v>-230.46442999999999</v>
      </c>
      <c r="N323" s="1">
        <v>-28.28999</v>
      </c>
    </row>
    <row r="324" spans="1:14" x14ac:dyDescent="0.4">
      <c r="B324" s="1">
        <v>16.399999999999999</v>
      </c>
      <c r="C324" s="1" t="s">
        <v>335</v>
      </c>
      <c r="D324" s="3">
        <f t="shared" si="34"/>
        <v>1981.7272702</v>
      </c>
      <c r="E324" s="1">
        <v>15.761699999999999</v>
      </c>
      <c r="F324" s="1">
        <v>6.0853000000000002</v>
      </c>
      <c r="G324" s="1">
        <v>3.5649999999999999</v>
      </c>
      <c r="H324" s="1">
        <v>4.2920999999999996</v>
      </c>
      <c r="I324" s="1">
        <v>71.855099999999993</v>
      </c>
      <c r="J324" s="1">
        <f t="shared" si="35"/>
        <v>71.256155399999997</v>
      </c>
      <c r="L324" s="1">
        <f t="shared" si="36"/>
        <v>-24.269847977528087</v>
      </c>
      <c r="M324" s="1">
        <v>-234.7064</v>
      </c>
      <c r="N324" s="1">
        <v>-29.173739999999999</v>
      </c>
    </row>
    <row r="325" spans="1:14" x14ac:dyDescent="0.4">
      <c r="B325" s="1">
        <v>16.45</v>
      </c>
      <c r="C325" s="1" t="s">
        <v>336</v>
      </c>
      <c r="D325" s="3">
        <f t="shared" si="34"/>
        <v>1981.6363610999999</v>
      </c>
      <c r="E325" s="1">
        <v>49.955599999999997</v>
      </c>
      <c r="F325" s="1">
        <v>70.290599999999998</v>
      </c>
      <c r="G325" s="1">
        <v>7.2462999999999997</v>
      </c>
      <c r="H325" s="1">
        <v>7.0305</v>
      </c>
      <c r="I325" s="1">
        <v>30.8123</v>
      </c>
      <c r="J325" s="1">
        <f t="shared" si="35"/>
        <v>28.913987200000001</v>
      </c>
      <c r="K325" s="1">
        <v>-8.3249999999992497E-2</v>
      </c>
      <c r="L325" s="1">
        <f t="shared" si="36"/>
        <v>33.711786966292131</v>
      </c>
      <c r="M325" s="1">
        <v>-211.89787999999999</v>
      </c>
      <c r="N325" s="1">
        <v>-29.83492</v>
      </c>
    </row>
    <row r="326" spans="1:14" x14ac:dyDescent="0.4">
      <c r="B326" s="1">
        <v>16.5</v>
      </c>
      <c r="C326" s="1" t="s">
        <v>337</v>
      </c>
      <c r="D326" s="3">
        <f t="shared" si="34"/>
        <v>1981.5454519999998</v>
      </c>
      <c r="E326" s="1">
        <v>47.412500000000001</v>
      </c>
      <c r="F326" s="1">
        <v>20.095700000000001</v>
      </c>
      <c r="G326" s="1">
        <v>8.157</v>
      </c>
      <c r="H326" s="1">
        <v>9.7174999999999994</v>
      </c>
      <c r="I326" s="1">
        <v>77.646000000000001</v>
      </c>
      <c r="J326" s="1">
        <f t="shared" si="35"/>
        <v>75.844324999999998</v>
      </c>
      <c r="K326" s="1">
        <v>-4.1445099999999968</v>
      </c>
      <c r="L326" s="1">
        <f t="shared" si="36"/>
        <v>4.8033286516853977</v>
      </c>
      <c r="M326" s="1">
        <v>-229.30232000000001</v>
      </c>
      <c r="N326" s="1">
        <v>-30.525919999999999</v>
      </c>
    </row>
    <row r="327" spans="1:14" x14ac:dyDescent="0.4">
      <c r="B327" s="1">
        <v>16.55</v>
      </c>
      <c r="C327" s="1" t="s">
        <v>338</v>
      </c>
      <c r="D327" s="3">
        <f t="shared" si="34"/>
        <v>1981.4545429</v>
      </c>
      <c r="E327" s="1">
        <v>55.855200000000004</v>
      </c>
      <c r="F327" s="1">
        <v>24.4909</v>
      </c>
      <c r="G327" s="1">
        <v>13.509</v>
      </c>
      <c r="H327" s="1">
        <v>8.5619999999999994</v>
      </c>
      <c r="I327" s="1">
        <v>42.755899999999997</v>
      </c>
      <c r="J327" s="1">
        <f t="shared" si="35"/>
        <v>40.633402399999994</v>
      </c>
      <c r="K327" s="1">
        <v>-1.3164800000000128</v>
      </c>
      <c r="L327" s="1">
        <f t="shared" si="36"/>
        <v>33.027445842696636</v>
      </c>
      <c r="M327" s="1">
        <v>-238.08985000000001</v>
      </c>
      <c r="N327" s="1">
        <v>-30.303370000000001</v>
      </c>
    </row>
    <row r="328" spans="1:14" x14ac:dyDescent="0.4">
      <c r="B328" s="1">
        <v>16.600000000000001</v>
      </c>
      <c r="C328" s="1" t="s">
        <v>339</v>
      </c>
      <c r="D328" s="3">
        <f t="shared" si="34"/>
        <v>1981.3636337999999</v>
      </c>
      <c r="E328" s="1">
        <v>52.316699999999997</v>
      </c>
      <c r="F328" s="1">
        <v>26.605899999999998</v>
      </c>
      <c r="G328" s="1">
        <v>12.1554</v>
      </c>
      <c r="H328" s="1">
        <v>8.9296000000000006</v>
      </c>
      <c r="I328" s="1">
        <v>73.088099999999997</v>
      </c>
      <c r="J328" s="1">
        <f t="shared" si="35"/>
        <v>71.100065399999991</v>
      </c>
      <c r="K328" s="1">
        <v>26.781480000000016</v>
      </c>
      <c r="L328" s="1">
        <f t="shared" si="36"/>
        <v>12.372843033707866</v>
      </c>
      <c r="M328" s="1">
        <v>-244.87625</v>
      </c>
      <c r="N328" s="1">
        <v>-30.718150000000001</v>
      </c>
    </row>
    <row r="329" spans="1:14" x14ac:dyDescent="0.4">
      <c r="B329" s="1">
        <v>16.649999999999999</v>
      </c>
      <c r="C329" s="1" t="s">
        <v>340</v>
      </c>
      <c r="D329" s="3">
        <f t="shared" si="34"/>
        <v>1981.2727247</v>
      </c>
      <c r="E329" s="1">
        <v>68.394800000000004</v>
      </c>
      <c r="F329" s="1">
        <v>62.214700000000001</v>
      </c>
      <c r="G329" s="1">
        <v>9.3467000000000002</v>
      </c>
      <c r="H329" s="1">
        <v>8.3446999999999996</v>
      </c>
      <c r="I329" s="1">
        <v>28.286799999999999</v>
      </c>
      <c r="J329" s="1">
        <f t="shared" si="35"/>
        <v>25.6877976</v>
      </c>
      <c r="K329" s="1">
        <v>14.905039999999985</v>
      </c>
      <c r="L329" s="1">
        <f t="shared" si="36"/>
        <v>53.963453033707871</v>
      </c>
      <c r="M329" s="1">
        <v>-246.97554</v>
      </c>
      <c r="N329" s="1">
        <v>-30.78229</v>
      </c>
    </row>
    <row r="330" spans="1:14" x14ac:dyDescent="0.4">
      <c r="B330" s="1">
        <v>16.7</v>
      </c>
      <c r="C330" s="1" t="s">
        <v>341</v>
      </c>
      <c r="D330" s="3">
        <f t="shared" si="34"/>
        <v>1981.1818155999999</v>
      </c>
      <c r="E330" s="1">
        <v>15.905799999999999</v>
      </c>
      <c r="F330" s="1">
        <v>7.0925000000000002</v>
      </c>
      <c r="G330" s="1">
        <v>3.4318</v>
      </c>
      <c r="H330" s="1">
        <v>4.3876999999999997</v>
      </c>
      <c r="I330" s="1">
        <v>53.0929</v>
      </c>
      <c r="J330" s="1">
        <f t="shared" si="35"/>
        <v>52.488479599999998</v>
      </c>
      <c r="K330" s="1">
        <v>4.3371099999999956</v>
      </c>
      <c r="L330" s="1">
        <f t="shared" si="36"/>
        <v>-13.582109887640449</v>
      </c>
      <c r="M330" s="1">
        <v>-240.28801000000001</v>
      </c>
      <c r="N330" s="1">
        <v>-29.818290000000001</v>
      </c>
    </row>
    <row r="331" spans="1:14" x14ac:dyDescent="0.4">
      <c r="B331" s="1">
        <v>16.75</v>
      </c>
      <c r="C331" s="1" t="s">
        <v>342</v>
      </c>
      <c r="D331" s="3">
        <f t="shared" si="34"/>
        <v>1981.0909064999998</v>
      </c>
      <c r="E331" s="1">
        <v>21.329699999999999</v>
      </c>
      <c r="F331" s="1">
        <v>11.429600000000001</v>
      </c>
      <c r="G331" s="1">
        <v>4.7530999999999999</v>
      </c>
      <c r="H331" s="1">
        <v>3.8679000000000001</v>
      </c>
      <c r="I331" s="1">
        <v>27.0578</v>
      </c>
      <c r="J331" s="1">
        <f t="shared" si="35"/>
        <v>26.247271399999999</v>
      </c>
      <c r="K331" s="1">
        <v>0.86895000000001232</v>
      </c>
      <c r="L331" s="1">
        <f t="shared" si="36"/>
        <v>6.5840419101123597</v>
      </c>
      <c r="M331" s="1">
        <v>-228.74448000000001</v>
      </c>
      <c r="N331" s="1">
        <v>-28.451339999999998</v>
      </c>
    </row>
    <row r="332" spans="1:14" x14ac:dyDescent="0.4">
      <c r="A332" s="1">
        <v>1981</v>
      </c>
      <c r="B332" s="1">
        <v>16.8</v>
      </c>
      <c r="C332" s="1" t="s">
        <v>343</v>
      </c>
      <c r="D332" s="3">
        <f>-1.818182*B332+2011.545455</f>
        <v>1980.9999974</v>
      </c>
      <c r="E332" s="1">
        <v>10.2081</v>
      </c>
      <c r="F332" s="1">
        <v>4.0171000000000001</v>
      </c>
      <c r="G332" s="1">
        <v>1.4519</v>
      </c>
      <c r="H332" s="1">
        <v>4.1210000000000004</v>
      </c>
      <c r="I332" s="1">
        <v>53.415199999999999</v>
      </c>
      <c r="J332" s="1">
        <f t="shared" si="35"/>
        <v>53.027292199999998</v>
      </c>
      <c r="K332" s="1">
        <v>-0.71721999999999753</v>
      </c>
      <c r="L332" s="1">
        <f t="shared" si="36"/>
        <v>-19.582513595505617</v>
      </c>
      <c r="M332" s="1">
        <v>-220.97230999999999</v>
      </c>
      <c r="N332" s="1">
        <v>-27.483529999999998</v>
      </c>
    </row>
    <row r="333" spans="1:14" x14ac:dyDescent="0.4">
      <c r="B333" s="1">
        <v>16.850000000000001</v>
      </c>
      <c r="C333" s="1" t="s">
        <v>344</v>
      </c>
      <c r="D333" s="3">
        <f t="shared" ref="D333:D341" si="37">-1.818182*B333+2011.545455</f>
        <v>1980.9090882999999</v>
      </c>
      <c r="E333" s="1">
        <v>26.8782</v>
      </c>
      <c r="F333" s="1">
        <v>9.5151000000000003</v>
      </c>
      <c r="G333" s="1">
        <v>6.3788999999999998</v>
      </c>
      <c r="H333" s="1">
        <v>3.5068999999999999</v>
      </c>
      <c r="I333" s="1">
        <v>56.396900000000002</v>
      </c>
      <c r="J333" s="1">
        <f t="shared" si="35"/>
        <v>55.3755284</v>
      </c>
      <c r="K333" s="1">
        <v>-1.7416900000000055</v>
      </c>
      <c r="L333" s="1">
        <f t="shared" si="36"/>
        <v>-4.2316474157303361</v>
      </c>
      <c r="M333" s="1">
        <v>-220.91524000000001</v>
      </c>
      <c r="N333" s="1">
        <v>-27.487020000000001</v>
      </c>
    </row>
    <row r="334" spans="1:14" x14ac:dyDescent="0.4">
      <c r="B334" s="1">
        <v>16.899999999999999</v>
      </c>
      <c r="C334" s="1" t="s">
        <v>345</v>
      </c>
      <c r="D334" s="3">
        <f t="shared" si="37"/>
        <v>1980.8181792</v>
      </c>
      <c r="E334" s="1">
        <v>21.8141</v>
      </c>
      <c r="F334" s="1">
        <v>9.2248000000000001</v>
      </c>
      <c r="G334" s="1">
        <v>2.9415</v>
      </c>
      <c r="H334" s="1">
        <v>5.8941999999999997</v>
      </c>
      <c r="I334" s="1">
        <v>62.844099999999997</v>
      </c>
      <c r="J334" s="1">
        <f t="shared" si="35"/>
        <v>62.015164200000001</v>
      </c>
      <c r="K334" s="1">
        <v>-1.1337600000000236</v>
      </c>
      <c r="L334" s="1">
        <f t="shared" si="36"/>
        <v>-13.025879887640446</v>
      </c>
      <c r="M334" s="1">
        <v>-227.40998999999999</v>
      </c>
      <c r="N334" s="1">
        <v>-28.106639999999999</v>
      </c>
    </row>
    <row r="335" spans="1:14" x14ac:dyDescent="0.4">
      <c r="B335" s="1">
        <v>16.95</v>
      </c>
      <c r="C335" s="1" t="s">
        <v>346</v>
      </c>
      <c r="D335" s="3">
        <f t="shared" si="37"/>
        <v>1980.7272700999999</v>
      </c>
      <c r="E335" s="1">
        <v>52.366</v>
      </c>
      <c r="F335" s="1">
        <v>24.175599999999999</v>
      </c>
      <c r="G335" s="1">
        <v>6.4915000000000003</v>
      </c>
      <c r="H335" s="1">
        <v>7.6383999999999999</v>
      </c>
      <c r="I335" s="1">
        <v>34.024500000000003</v>
      </c>
      <c r="J335" s="1">
        <f t="shared" si="35"/>
        <v>32.034592000000004</v>
      </c>
      <c r="K335" s="1">
        <v>-1.1040700000000072</v>
      </c>
      <c r="L335" s="1">
        <f t="shared" si="36"/>
        <v>34.369038202247189</v>
      </c>
      <c r="M335" s="1">
        <v>-234.41727</v>
      </c>
      <c r="N335" s="1">
        <v>-29.02872</v>
      </c>
    </row>
    <row r="336" spans="1:14" x14ac:dyDescent="0.4">
      <c r="B336" s="1">
        <v>17</v>
      </c>
      <c r="C336" s="1" t="s">
        <v>347</v>
      </c>
      <c r="D336" s="3">
        <f t="shared" si="37"/>
        <v>1980.6363609999999</v>
      </c>
      <c r="E336" s="1">
        <v>73.627799999999993</v>
      </c>
      <c r="F336" s="1">
        <v>10.575799999999999</v>
      </c>
      <c r="G336" s="1">
        <v>4.4143999999999997</v>
      </c>
      <c r="H336" s="1">
        <v>11.0153</v>
      </c>
      <c r="I336" s="1">
        <v>57.122500000000002</v>
      </c>
      <c r="J336" s="1">
        <f t="shared" si="35"/>
        <v>54.324643600000002</v>
      </c>
      <c r="K336" s="1">
        <v>-1.0190800000000024</v>
      </c>
      <c r="L336" s="1">
        <f t="shared" si="36"/>
        <v>43.108337303370774</v>
      </c>
      <c r="M336" s="1">
        <v>-240.85310000000001</v>
      </c>
      <c r="N336" s="1">
        <v>-29.570519999999998</v>
      </c>
    </row>
    <row r="337" spans="1:14" x14ac:dyDescent="0.4">
      <c r="B337" s="1">
        <v>17.05</v>
      </c>
      <c r="C337" s="1" t="s">
        <v>348</v>
      </c>
      <c r="D337" s="3">
        <f t="shared" si="37"/>
        <v>1980.5454519</v>
      </c>
      <c r="E337" s="1">
        <v>72.243499999999997</v>
      </c>
      <c r="F337" s="1">
        <v>21.854500000000002</v>
      </c>
      <c r="G337" s="1">
        <v>5.8695000000000004</v>
      </c>
      <c r="H337" s="1">
        <v>9.8492999999999995</v>
      </c>
      <c r="I337" s="1">
        <v>63.002000000000002</v>
      </c>
      <c r="J337" s="1">
        <f t="shared" si="35"/>
        <v>60.256747000000004</v>
      </c>
      <c r="K337" s="1">
        <v>-2.5568700000000035</v>
      </c>
      <c r="L337" s="1">
        <f t="shared" si="36"/>
        <v>38.391394943820217</v>
      </c>
      <c r="M337" s="1">
        <v>-245.53565</v>
      </c>
      <c r="N337" s="1">
        <v>-30.179819999999999</v>
      </c>
    </row>
    <row r="338" spans="1:14" x14ac:dyDescent="0.4">
      <c r="B338" s="1">
        <v>17.100000000000001</v>
      </c>
      <c r="C338" s="1" t="s">
        <v>349</v>
      </c>
      <c r="D338" s="3">
        <f t="shared" si="37"/>
        <v>1980.4545427999999</v>
      </c>
      <c r="E338" s="1">
        <v>59.907600000000002</v>
      </c>
      <c r="F338" s="1">
        <v>13.699199999999999</v>
      </c>
      <c r="G338" s="1">
        <v>10.668200000000001</v>
      </c>
      <c r="H338" s="1">
        <v>8.2446000000000002</v>
      </c>
      <c r="I338" s="1">
        <v>58.286900000000003</v>
      </c>
      <c r="J338" s="1">
        <f t="shared" si="35"/>
        <v>56.0104112</v>
      </c>
      <c r="K338" s="1">
        <v>-2.1875100000000032</v>
      </c>
      <c r="L338" s="1">
        <f t="shared" si="36"/>
        <v>28.441076853932586</v>
      </c>
      <c r="M338" s="1">
        <v>-245.89572000000001</v>
      </c>
      <c r="N338" s="1">
        <v>-30.5855</v>
      </c>
    </row>
    <row r="339" spans="1:14" x14ac:dyDescent="0.4">
      <c r="B339" s="1">
        <v>17.149999999999999</v>
      </c>
      <c r="C339" s="1" t="s">
        <v>350</v>
      </c>
      <c r="D339" s="3">
        <f t="shared" si="37"/>
        <v>1980.3636337</v>
      </c>
      <c r="E339" s="1">
        <v>19.283799999999999</v>
      </c>
      <c r="F339" s="1">
        <v>70.427899999999994</v>
      </c>
      <c r="G339" s="1">
        <v>3.4655</v>
      </c>
      <c r="H339" s="1">
        <v>2.8260999999999998</v>
      </c>
      <c r="I339" s="1">
        <v>18.4407</v>
      </c>
      <c r="J339" s="1">
        <f t="shared" si="35"/>
        <v>17.7079156</v>
      </c>
      <c r="K339" s="1">
        <v>-4.2889400000000251</v>
      </c>
      <c r="L339" s="1">
        <f t="shared" si="36"/>
        <v>9.3355328089887646</v>
      </c>
      <c r="M339" s="1">
        <v>-244.74579</v>
      </c>
      <c r="N339" s="1">
        <v>-30.496639999999999</v>
      </c>
    </row>
    <row r="340" spans="1:14" x14ac:dyDescent="0.4">
      <c r="B340" s="1">
        <v>17.2</v>
      </c>
      <c r="C340" s="1" t="s">
        <v>351</v>
      </c>
      <c r="D340" s="3">
        <f t="shared" si="37"/>
        <v>1980.2727245999999</v>
      </c>
      <c r="E340" s="1">
        <v>31.095300000000002</v>
      </c>
      <c r="F340" s="1">
        <v>2.5659999999999998</v>
      </c>
      <c r="G340" s="1">
        <v>6.2187000000000001</v>
      </c>
      <c r="H340" s="1">
        <v>6.6483999999999996</v>
      </c>
      <c r="I340" s="1">
        <v>38.000300000000003</v>
      </c>
      <c r="J340" s="1">
        <f t="shared" si="35"/>
        <v>36.818678600000005</v>
      </c>
      <c r="K340" s="1">
        <v>-4.0970900000000086</v>
      </c>
      <c r="L340" s="1">
        <f t="shared" si="36"/>
        <v>10.410649101123596</v>
      </c>
      <c r="M340" s="1">
        <v>-243.53460999999999</v>
      </c>
      <c r="N340" s="1">
        <v>-30.48732</v>
      </c>
    </row>
    <row r="341" spans="1:14" x14ac:dyDescent="0.4">
      <c r="B341" s="1">
        <v>17.25</v>
      </c>
      <c r="C341" s="1" t="s">
        <v>352</v>
      </c>
      <c r="D341" s="3">
        <f t="shared" si="37"/>
        <v>1980.1818154999999</v>
      </c>
      <c r="E341" s="1">
        <v>107.642</v>
      </c>
      <c r="F341" s="1">
        <v>16.995799999999999</v>
      </c>
      <c r="G341" s="1">
        <v>7.7015000000000002</v>
      </c>
      <c r="H341" s="1">
        <v>17.708500000000001</v>
      </c>
      <c r="I341" s="1">
        <v>24.331199999999999</v>
      </c>
      <c r="J341" s="1">
        <f t="shared" si="35"/>
        <v>20.240803999999997</v>
      </c>
      <c r="K341" s="1">
        <v>-1.2117200000000139</v>
      </c>
      <c r="L341" s="1">
        <f t="shared" si="36"/>
        <v>96.270761797752812</v>
      </c>
      <c r="M341" s="1">
        <v>-238.38150999999999</v>
      </c>
      <c r="N341" s="1">
        <v>-30.021409999999999</v>
      </c>
    </row>
    <row r="342" spans="1:14" x14ac:dyDescent="0.4">
      <c r="A342" s="1">
        <v>1980</v>
      </c>
      <c r="B342" s="1">
        <v>17.3</v>
      </c>
      <c r="C342" s="1" t="s">
        <v>353</v>
      </c>
      <c r="D342" s="3">
        <f>-1.052632*B342+1998.210526</f>
        <v>1979.9999924000001</v>
      </c>
      <c r="E342" s="1">
        <v>66.367000000000004</v>
      </c>
      <c r="F342" s="1">
        <v>9.5501000000000005</v>
      </c>
      <c r="G342" s="1">
        <v>7.9161999999999999</v>
      </c>
      <c r="H342" s="1">
        <v>10.8604</v>
      </c>
      <c r="I342" s="1">
        <v>93.699600000000004</v>
      </c>
      <c r="J342" s="1">
        <f t="shared" si="35"/>
        <v>91.177654000000004</v>
      </c>
      <c r="K342" s="1">
        <v>-0.77267000000000507</v>
      </c>
      <c r="L342" s="1">
        <f t="shared" si="36"/>
        <v>15.143598876404496</v>
      </c>
      <c r="M342" s="1">
        <v>-232.22006999999999</v>
      </c>
      <c r="N342" s="1">
        <v>-29.370450000000002</v>
      </c>
    </row>
    <row r="343" spans="1:14" x14ac:dyDescent="0.4">
      <c r="B343" s="1">
        <v>17.350000000000001</v>
      </c>
      <c r="C343" s="1" t="s">
        <v>354</v>
      </c>
      <c r="D343" s="3">
        <f t="shared" ref="D343:D360" si="38">-1.052632*B343+1998.210526</f>
        <v>1979.9473608000001</v>
      </c>
      <c r="E343" s="1">
        <v>51.679499999999997</v>
      </c>
      <c r="F343" s="1">
        <v>36.513800000000003</v>
      </c>
      <c r="G343" s="1">
        <v>13.204499999999999</v>
      </c>
      <c r="H343" s="1">
        <v>5.9935</v>
      </c>
      <c r="I343" s="1">
        <v>50.116500000000002</v>
      </c>
      <c r="J343" s="1">
        <f t="shared" si="35"/>
        <v>48.152678999999999</v>
      </c>
      <c r="K343" s="1">
        <v>0.36395000000001687</v>
      </c>
      <c r="L343" s="1">
        <f t="shared" si="36"/>
        <v>24.627433146067414</v>
      </c>
      <c r="M343" s="1">
        <v>-230.8098</v>
      </c>
      <c r="N343" s="1">
        <v>-29.067139999999998</v>
      </c>
    </row>
    <row r="344" spans="1:14" x14ac:dyDescent="0.4">
      <c r="B344" s="1">
        <v>17.399999999999999</v>
      </c>
      <c r="C344" s="1" t="s">
        <v>355</v>
      </c>
      <c r="D344" s="3">
        <f t="shared" si="38"/>
        <v>1979.8947292</v>
      </c>
      <c r="E344" s="1">
        <v>42.401600000000002</v>
      </c>
      <c r="F344" s="1">
        <v>6.6430999999999996</v>
      </c>
      <c r="G344" s="1">
        <v>5.1517999999999997</v>
      </c>
      <c r="H344" s="1">
        <v>8.4751999999999992</v>
      </c>
      <c r="I344" s="1">
        <v>87.027799999999999</v>
      </c>
      <c r="J344" s="1">
        <f t="shared" si="35"/>
        <v>85.416539200000003</v>
      </c>
      <c r="K344" s="1">
        <v>1.7897700000000043</v>
      </c>
      <c r="L344" s="1">
        <f t="shared" si="36"/>
        <v>-5.5852197752808976</v>
      </c>
      <c r="M344" s="1">
        <v>-232.08653000000001</v>
      </c>
      <c r="N344" s="1">
        <v>-29.035620000000002</v>
      </c>
    </row>
    <row r="345" spans="1:14" x14ac:dyDescent="0.4">
      <c r="B345" s="1">
        <v>17.45</v>
      </c>
      <c r="C345" s="1" t="s">
        <v>356</v>
      </c>
      <c r="D345" s="3">
        <f t="shared" si="38"/>
        <v>1979.8420976</v>
      </c>
      <c r="E345" s="1">
        <v>62.296500000000002</v>
      </c>
      <c r="F345" s="1">
        <v>13.958399999999999</v>
      </c>
      <c r="G345" s="1">
        <v>8.7462999999999997</v>
      </c>
      <c r="H345" s="1">
        <v>9.5137999999999998</v>
      </c>
      <c r="I345" s="1">
        <v>104.6493</v>
      </c>
      <c r="J345" s="1">
        <f t="shared" si="35"/>
        <v>102.282033</v>
      </c>
      <c r="K345" s="1">
        <v>2.7435300000000211</v>
      </c>
      <c r="L345" s="1">
        <f t="shared" si="36"/>
        <v>4.8346837078651745</v>
      </c>
      <c r="M345" s="1">
        <v>-236.13806</v>
      </c>
      <c r="N345" s="1">
        <v>-29.468160000000001</v>
      </c>
    </row>
    <row r="346" spans="1:14" x14ac:dyDescent="0.4">
      <c r="B346" s="1">
        <v>17.5</v>
      </c>
      <c r="C346" s="1" t="s">
        <v>357</v>
      </c>
      <c r="D346" s="3">
        <f t="shared" si="38"/>
        <v>1979.7894660000002</v>
      </c>
      <c r="E346" s="1">
        <v>64.146799999999999</v>
      </c>
      <c r="F346" s="1">
        <v>13.000500000000001</v>
      </c>
      <c r="G346" s="1">
        <v>6.98</v>
      </c>
      <c r="H346" s="1">
        <v>11.5566</v>
      </c>
      <c r="I346" s="1">
        <v>55.4696</v>
      </c>
      <c r="J346" s="1">
        <f t="shared" si="35"/>
        <v>53.0320216</v>
      </c>
      <c r="K346" s="1">
        <v>1.7273199999999918</v>
      </c>
      <c r="L346" s="1">
        <f t="shared" si="36"/>
        <v>34.353529438202244</v>
      </c>
      <c r="M346" s="1">
        <v>-237.98566</v>
      </c>
      <c r="N346" s="1">
        <v>-29.809640000000002</v>
      </c>
    </row>
    <row r="347" spans="1:14" x14ac:dyDescent="0.4">
      <c r="B347" s="1">
        <v>17.55</v>
      </c>
      <c r="C347" s="1" t="s">
        <v>358</v>
      </c>
      <c r="D347" s="3">
        <f t="shared" si="38"/>
        <v>1979.7368344000001</v>
      </c>
      <c r="E347" s="1">
        <v>230.124</v>
      </c>
      <c r="F347" s="1">
        <v>10.6303</v>
      </c>
      <c r="G347" s="1">
        <v>37.936700000000002</v>
      </c>
      <c r="H347" s="1">
        <v>18.5565</v>
      </c>
      <c r="I347" s="1">
        <v>94.73</v>
      </c>
      <c r="J347" s="1">
        <f t="shared" si="35"/>
        <v>85.985287999999997</v>
      </c>
      <c r="K347" s="1">
        <v>0.19843000000000188</v>
      </c>
      <c r="L347" s="1">
        <f t="shared" si="36"/>
        <v>181.81765842696629</v>
      </c>
      <c r="M347" s="1">
        <v>-241.43047000000001</v>
      </c>
      <c r="N347" s="1">
        <v>-30.988669999999999</v>
      </c>
    </row>
    <row r="348" spans="1:14" x14ac:dyDescent="0.4">
      <c r="B348" s="1">
        <v>17.600000000000001</v>
      </c>
      <c r="C348" s="1" t="s">
        <v>359</v>
      </c>
      <c r="D348" s="3">
        <f t="shared" si="38"/>
        <v>1979.6842028000001</v>
      </c>
      <c r="E348" s="1">
        <v>34.708500000000001</v>
      </c>
      <c r="F348" s="1">
        <v>5.3856999999999999</v>
      </c>
      <c r="G348" s="1">
        <v>1.7968999999999999</v>
      </c>
      <c r="H348" s="1">
        <v>7.6493000000000002</v>
      </c>
      <c r="I348" s="1">
        <v>22.6996</v>
      </c>
      <c r="J348" s="1">
        <f t="shared" si="35"/>
        <v>21.380676999999999</v>
      </c>
      <c r="K348" s="1">
        <v>-0.39277999999998769</v>
      </c>
      <c r="L348" s="1">
        <f t="shared" si="36"/>
        <v>22.696883707865169</v>
      </c>
      <c r="M348" s="1">
        <v>-248.09838999999999</v>
      </c>
      <c r="N348" s="1">
        <v>-30.126329999999999</v>
      </c>
    </row>
    <row r="349" spans="1:14" x14ac:dyDescent="0.4">
      <c r="B349" s="1">
        <v>17.649999999999999</v>
      </c>
      <c r="C349" s="1" t="s">
        <v>360</v>
      </c>
      <c r="D349" s="3">
        <f t="shared" si="38"/>
        <v>1979.6315712000001</v>
      </c>
      <c r="E349" s="1">
        <v>25.326000000000001</v>
      </c>
      <c r="F349" s="1">
        <v>9.0404</v>
      </c>
      <c r="G349" s="1">
        <v>4.1326999999999998</v>
      </c>
      <c r="H349" s="1">
        <v>3.6608000000000001</v>
      </c>
      <c r="I349" s="1">
        <v>58.481499999999997</v>
      </c>
      <c r="J349" s="1">
        <f t="shared" si="35"/>
        <v>57.519112</v>
      </c>
      <c r="K349" s="1">
        <v>0.49146000000001777</v>
      </c>
      <c r="L349" s="1">
        <f t="shared" si="36"/>
        <v>-6.9881078651685371</v>
      </c>
      <c r="M349" s="1">
        <v>-251.83962</v>
      </c>
      <c r="N349" s="1">
        <v>-31.510020000000001</v>
      </c>
    </row>
    <row r="350" spans="1:14" x14ac:dyDescent="0.4">
      <c r="B350" s="1">
        <v>17.7</v>
      </c>
      <c r="C350" s="1" t="s">
        <v>361</v>
      </c>
      <c r="D350" s="3">
        <f t="shared" si="38"/>
        <v>1979.5789396</v>
      </c>
      <c r="E350" s="1">
        <v>29.327500000000001</v>
      </c>
      <c r="F350" s="1">
        <v>2.9929000000000001</v>
      </c>
      <c r="G350" s="1">
        <v>1.546</v>
      </c>
      <c r="H350" s="1">
        <v>7.3030999999999997</v>
      </c>
      <c r="I350" s="1">
        <v>72.324100000000001</v>
      </c>
      <c r="J350" s="1">
        <f t="shared" si="35"/>
        <v>71.209654999999998</v>
      </c>
      <c r="K350" s="1">
        <v>6.4788899999999785</v>
      </c>
      <c r="L350" s="1">
        <f t="shared" si="36"/>
        <v>-10.677924157303366</v>
      </c>
      <c r="M350" s="1">
        <v>-253.64043000000001</v>
      </c>
      <c r="N350" s="1">
        <v>-31.69539</v>
      </c>
    </row>
    <row r="351" spans="1:14" x14ac:dyDescent="0.4">
      <c r="B351" s="1">
        <v>17.75</v>
      </c>
      <c r="C351" s="1" t="s">
        <v>362</v>
      </c>
      <c r="D351" s="3">
        <f t="shared" si="38"/>
        <v>1979.526308</v>
      </c>
      <c r="E351" s="1">
        <v>38.134099999999997</v>
      </c>
      <c r="F351" s="1">
        <v>13.0318</v>
      </c>
      <c r="G351" s="1">
        <v>4.3552999999999997</v>
      </c>
      <c r="H351" s="1">
        <v>5.8520000000000003</v>
      </c>
      <c r="I351" s="1">
        <v>42.113300000000002</v>
      </c>
      <c r="J351" s="1">
        <f t="shared" si="35"/>
        <v>40.6642042</v>
      </c>
      <c r="K351" s="1">
        <v>-7.0877499999999998</v>
      </c>
      <c r="L351" s="1">
        <f t="shared" si="36"/>
        <v>15.289041460674152</v>
      </c>
      <c r="M351" s="1">
        <v>-251.31233</v>
      </c>
      <c r="N351" s="1">
        <v>-31.465070000000001</v>
      </c>
    </row>
    <row r="352" spans="1:14" x14ac:dyDescent="0.4">
      <c r="B352" s="1">
        <v>17.8</v>
      </c>
      <c r="C352" s="1" t="s">
        <v>363</v>
      </c>
      <c r="D352" s="3">
        <f t="shared" si="38"/>
        <v>1979.4736764000002</v>
      </c>
      <c r="E352" s="1">
        <v>10.971399999999999</v>
      </c>
      <c r="F352" s="1">
        <v>6.1406999999999998</v>
      </c>
      <c r="G352" s="1">
        <v>1.3833</v>
      </c>
      <c r="H352" s="1">
        <v>3.0137</v>
      </c>
      <c r="I352" s="1">
        <v>45.982399999999998</v>
      </c>
      <c r="J352" s="1">
        <f t="shared" si="35"/>
        <v>45.565486799999995</v>
      </c>
      <c r="K352" s="1">
        <v>0.24054000000000997</v>
      </c>
      <c r="L352" s="1">
        <f t="shared" si="36"/>
        <v>-14.627188089887639</v>
      </c>
      <c r="M352" s="1">
        <v>-251.45312999999999</v>
      </c>
      <c r="N352" s="1">
        <v>-31.504149999999999</v>
      </c>
    </row>
    <row r="353" spans="1:14" x14ac:dyDescent="0.4">
      <c r="B353" s="1">
        <v>17.850000000000001</v>
      </c>
      <c r="C353" s="1" t="s">
        <v>364</v>
      </c>
      <c r="D353" s="3">
        <f t="shared" si="38"/>
        <v>1979.4210448000001</v>
      </c>
      <c r="E353" s="1">
        <v>10.5755</v>
      </c>
      <c r="F353" s="1">
        <v>16.039100000000001</v>
      </c>
      <c r="G353" s="1">
        <v>2.7103000000000002</v>
      </c>
      <c r="H353" s="1">
        <v>2.7593999999999999</v>
      </c>
      <c r="I353" s="1">
        <v>22.294599999999999</v>
      </c>
      <c r="J353" s="1">
        <f t="shared" si="35"/>
        <v>21.892730999999998</v>
      </c>
      <c r="K353" s="1">
        <v>-7.7310000000011314E-2</v>
      </c>
      <c r="L353" s="1">
        <f t="shared" si="36"/>
        <v>-1.723787078651684</v>
      </c>
      <c r="M353" s="1">
        <v>-253.37450000000001</v>
      </c>
      <c r="N353" s="1">
        <v>-31.894909999999999</v>
      </c>
    </row>
    <row r="354" spans="1:14" x14ac:dyDescent="0.4">
      <c r="B354" s="1">
        <v>17.899999999999999</v>
      </c>
      <c r="C354" s="1" t="s">
        <v>365</v>
      </c>
      <c r="D354" s="3">
        <f t="shared" si="38"/>
        <v>1979.3684132000001</v>
      </c>
      <c r="E354" s="1">
        <v>13.001200000000001</v>
      </c>
      <c r="F354" s="1">
        <v>10.451000000000001</v>
      </c>
      <c r="G354" s="1">
        <v>2.9087999999999998</v>
      </c>
      <c r="H354" s="1">
        <v>3.4767000000000001</v>
      </c>
      <c r="I354" s="1">
        <v>23.071000000000002</v>
      </c>
      <c r="J354" s="1">
        <f t="shared" si="35"/>
        <v>22.576954400000002</v>
      </c>
      <c r="K354" s="1">
        <v>0.4082300000000032</v>
      </c>
      <c r="L354" s="1">
        <f t="shared" si="36"/>
        <v>0.31751775280898897</v>
      </c>
      <c r="M354" s="1">
        <v>-257.22030000000001</v>
      </c>
      <c r="N354" s="1">
        <v>-32.156700000000001</v>
      </c>
    </row>
    <row r="355" spans="1:14" x14ac:dyDescent="0.4">
      <c r="B355" s="1">
        <v>17.95</v>
      </c>
      <c r="C355" s="1" t="s">
        <v>366</v>
      </c>
      <c r="D355" s="3">
        <f t="shared" si="38"/>
        <v>1979.3157816</v>
      </c>
      <c r="E355" s="1">
        <v>5.9180999999999999</v>
      </c>
      <c r="F355" s="1">
        <v>49.532600000000002</v>
      </c>
      <c r="G355" s="1">
        <v>2.9628999999999999</v>
      </c>
      <c r="H355" s="1">
        <v>0.74570000000000003</v>
      </c>
      <c r="I355" s="1">
        <v>18.609400000000001</v>
      </c>
      <c r="J355" s="1">
        <f t="shared" si="35"/>
        <v>18.3845122</v>
      </c>
      <c r="K355" s="1">
        <v>0.5800700000000063</v>
      </c>
      <c r="L355" s="1">
        <f t="shared" si="36"/>
        <v>-4.4102776404494373</v>
      </c>
      <c r="M355" s="1">
        <v>-259.63387</v>
      </c>
      <c r="N355" s="1">
        <v>-32.523249999999997</v>
      </c>
    </row>
    <row r="356" spans="1:14" x14ac:dyDescent="0.4">
      <c r="B356" s="1">
        <v>18</v>
      </c>
      <c r="C356" s="1" t="s">
        <v>367</v>
      </c>
      <c r="D356" s="3">
        <f t="shared" si="38"/>
        <v>1979.26315</v>
      </c>
      <c r="E356" s="1">
        <v>17.3262</v>
      </c>
      <c r="F356" s="1">
        <v>5.5518000000000001</v>
      </c>
      <c r="G356" s="1">
        <v>0.84760000000000002</v>
      </c>
      <c r="H356" s="1">
        <v>6.5720000000000001</v>
      </c>
      <c r="I356" s="1">
        <v>46.947699999999998</v>
      </c>
      <c r="J356" s="1">
        <f t="shared" si="35"/>
        <v>46.289304399999999</v>
      </c>
      <c r="K356" s="1">
        <v>1.7847799999999836</v>
      </c>
      <c r="L356" s="1">
        <f t="shared" si="36"/>
        <v>-8.6790271910112367</v>
      </c>
      <c r="M356" s="1">
        <v>-264.54034000000001</v>
      </c>
      <c r="N356" s="1">
        <v>-33.20579</v>
      </c>
    </row>
    <row r="357" spans="1:14" x14ac:dyDescent="0.4">
      <c r="B357" s="1">
        <v>18.05</v>
      </c>
      <c r="C357" s="1" t="s">
        <v>368</v>
      </c>
      <c r="D357" s="3">
        <f t="shared" si="38"/>
        <v>1979.2105184000002</v>
      </c>
      <c r="E357" s="1">
        <v>120.98090000000001</v>
      </c>
      <c r="F357" s="1">
        <v>8.6038999999999994</v>
      </c>
      <c r="G357" s="1">
        <v>4.8452999999999999</v>
      </c>
      <c r="H357" s="1">
        <v>16.710799999999999</v>
      </c>
      <c r="I357" s="1">
        <v>20.5625</v>
      </c>
      <c r="J357" s="1">
        <f t="shared" si="35"/>
        <v>15.965225799999999</v>
      </c>
      <c r="K357" s="1">
        <v>3.3299999999996999E-2</v>
      </c>
      <c r="L357" s="1">
        <f t="shared" si="36"/>
        <v>112.01167202247191</v>
      </c>
      <c r="M357" s="1">
        <v>-268.16457000000003</v>
      </c>
      <c r="N357" s="1">
        <v>-33.447279999999999</v>
      </c>
    </row>
    <row r="358" spans="1:14" x14ac:dyDescent="0.4">
      <c r="B358" s="1">
        <v>18.100000000000001</v>
      </c>
      <c r="C358" s="1" t="s">
        <v>369</v>
      </c>
      <c r="D358" s="3">
        <f t="shared" si="38"/>
        <v>1979.1578868000001</v>
      </c>
      <c r="E358" s="1">
        <v>42.356099999999998</v>
      </c>
      <c r="F358" s="1">
        <v>1.9652000000000001</v>
      </c>
      <c r="G358" s="1">
        <v>2.0421999999999998</v>
      </c>
      <c r="H358" s="1">
        <v>12.8224</v>
      </c>
      <c r="I358" s="1">
        <v>32.265599999999999</v>
      </c>
      <c r="J358" s="1">
        <f t="shared" si="35"/>
        <v>30.6560682</v>
      </c>
      <c r="K358" s="1">
        <v>0.55212999999997692</v>
      </c>
      <c r="L358" s="1">
        <f t="shared" si="36"/>
        <v>25.133589775280896</v>
      </c>
      <c r="M358" s="1">
        <v>-264.89136999999999</v>
      </c>
      <c r="N358" s="1">
        <v>-33.197560000000003</v>
      </c>
    </row>
    <row r="359" spans="1:14" x14ac:dyDescent="0.4">
      <c r="B359" s="1">
        <v>18.149999999999999</v>
      </c>
      <c r="C359" s="1" t="s">
        <v>370</v>
      </c>
      <c r="D359" s="3">
        <f t="shared" si="38"/>
        <v>1979.1052552000001</v>
      </c>
      <c r="E359" s="1">
        <v>66.176900000000003</v>
      </c>
      <c r="F359" s="1">
        <v>16.964099999999998</v>
      </c>
      <c r="G359" s="1">
        <v>4.2050000000000001</v>
      </c>
      <c r="H359" s="1">
        <v>8.8255999999999997</v>
      </c>
      <c r="I359" s="1">
        <v>24.869</v>
      </c>
      <c r="J359" s="1">
        <f t="shared" si="35"/>
        <v>22.354277799999998</v>
      </c>
      <c r="K359" s="1">
        <v>1.1059799999999882</v>
      </c>
      <c r="L359" s="1">
        <f t="shared" si="36"/>
        <v>53.618316966292142</v>
      </c>
      <c r="M359" s="1">
        <v>-257.50754000000001</v>
      </c>
      <c r="N359" s="1">
        <v>-32.182099999999998</v>
      </c>
    </row>
    <row r="360" spans="1:14" x14ac:dyDescent="0.4">
      <c r="B360" s="1">
        <v>18.2</v>
      </c>
      <c r="C360" s="1" t="s">
        <v>371</v>
      </c>
      <c r="D360" s="3">
        <f t="shared" si="38"/>
        <v>1979.0526236000001</v>
      </c>
      <c r="E360" s="1">
        <v>22.681799999999999</v>
      </c>
      <c r="F360" s="1">
        <v>5.0800999999999998</v>
      </c>
      <c r="G360" s="1">
        <v>1.3464</v>
      </c>
      <c r="H360" s="1">
        <v>5.7114000000000003</v>
      </c>
      <c r="I360" s="1">
        <v>56.208399999999997</v>
      </c>
      <c r="J360" s="1">
        <f t="shared" si="35"/>
        <v>55.3464916</v>
      </c>
      <c r="K360" s="1">
        <v>-0.58633000000003221</v>
      </c>
      <c r="L360" s="1">
        <f t="shared" si="36"/>
        <v>-8.4117346067415752</v>
      </c>
      <c r="M360" s="1">
        <v>-250.97919999999999</v>
      </c>
      <c r="N360" s="1">
        <v>-31.405480000000001</v>
      </c>
    </row>
    <row r="361" spans="1:14" x14ac:dyDescent="0.4">
      <c r="A361" s="1">
        <v>1979</v>
      </c>
      <c r="B361" s="1">
        <v>18.25</v>
      </c>
      <c r="C361" s="1" t="s">
        <v>372</v>
      </c>
      <c r="D361" s="3">
        <f>-2.857143*B361+2031.142857</f>
        <v>1978.99999725</v>
      </c>
      <c r="E361" s="1">
        <v>22.102399999999999</v>
      </c>
      <c r="F361" s="1">
        <v>80.661299999999997</v>
      </c>
      <c r="G361" s="1">
        <v>3.5964</v>
      </c>
      <c r="H361" s="1">
        <v>3.4287000000000001</v>
      </c>
      <c r="I361" s="1">
        <v>92.236500000000007</v>
      </c>
      <c r="J361" s="1">
        <f t="shared" si="35"/>
        <v>91.39660880000001</v>
      </c>
      <c r="K361" s="1">
        <v>0.68911000000002787</v>
      </c>
      <c r="L361" s="1">
        <f t="shared" si="36"/>
        <v>-29.244009438202252</v>
      </c>
      <c r="M361" s="1">
        <v>-246.79953</v>
      </c>
      <c r="N361" s="1">
        <v>-31.041830000000001</v>
      </c>
    </row>
    <row r="362" spans="1:14" x14ac:dyDescent="0.4">
      <c r="B362" s="1">
        <v>18.3</v>
      </c>
      <c r="C362" s="1" t="s">
        <v>373</v>
      </c>
      <c r="D362" s="3">
        <f t="shared" ref="D362:D367" si="39">-2.857143*B362+2031.142857</f>
        <v>1978.8571401000002</v>
      </c>
      <c r="E362" s="1">
        <v>12.759600000000001</v>
      </c>
      <c r="F362" s="1">
        <v>7.3124000000000002</v>
      </c>
      <c r="G362" s="1">
        <v>0.96260000000000001</v>
      </c>
      <c r="H362" s="1">
        <v>3.1478999999999999</v>
      </c>
      <c r="I362" s="1">
        <v>39.1235</v>
      </c>
      <c r="J362" s="1">
        <f t="shared" si="35"/>
        <v>38.638635200000003</v>
      </c>
      <c r="K362" s="1">
        <v>-5.0740000000018881E-2</v>
      </c>
      <c r="L362" s="1">
        <f t="shared" si="36"/>
        <v>-8.9474984269662929</v>
      </c>
      <c r="M362" s="1">
        <v>-246.16501</v>
      </c>
      <c r="N362" s="1">
        <v>-30.898790000000002</v>
      </c>
    </row>
    <row r="363" spans="1:14" x14ac:dyDescent="0.4">
      <c r="B363" s="1">
        <v>18.350000000000001</v>
      </c>
      <c r="C363" s="1" t="s">
        <v>374</v>
      </c>
      <c r="D363" s="3">
        <f t="shared" si="39"/>
        <v>1978.7142829500001</v>
      </c>
      <c r="E363" s="1">
        <v>78.448999999999998</v>
      </c>
      <c r="F363" s="1">
        <v>17.0334</v>
      </c>
      <c r="G363" s="1">
        <v>5.3090000000000002</v>
      </c>
      <c r="H363" s="1">
        <v>12.5129</v>
      </c>
      <c r="I363" s="1">
        <v>27.849399999999999</v>
      </c>
      <c r="J363" s="1">
        <f t="shared" si="35"/>
        <v>24.868338000000001</v>
      </c>
      <c r="K363" s="1">
        <v>0.2646400000000142</v>
      </c>
      <c r="L363" s="1">
        <f t="shared" si="36"/>
        <v>64.478023595505618</v>
      </c>
      <c r="M363" s="1">
        <v>-246.69021000000001</v>
      </c>
      <c r="N363" s="1">
        <v>-30.957740000000001</v>
      </c>
    </row>
    <row r="364" spans="1:14" x14ac:dyDescent="0.4">
      <c r="B364" s="1">
        <v>18.399999999999999</v>
      </c>
      <c r="C364" s="1" t="s">
        <v>375</v>
      </c>
      <c r="D364" s="3">
        <f t="shared" si="39"/>
        <v>1978.5714258</v>
      </c>
      <c r="E364" s="1">
        <v>38.753900000000002</v>
      </c>
      <c r="F364" s="1">
        <v>11.210800000000001</v>
      </c>
      <c r="G364" s="1">
        <v>1.7605</v>
      </c>
      <c r="H364" s="1">
        <v>10.461600000000001</v>
      </c>
      <c r="I364" s="1">
        <v>41.509099999999997</v>
      </c>
      <c r="J364" s="1">
        <f t="shared" si="35"/>
        <v>40.036451799999995</v>
      </c>
      <c r="K364" s="1">
        <v>1.5351100000000031</v>
      </c>
      <c r="L364" s="1">
        <f t="shared" si="36"/>
        <v>16.261511348314613</v>
      </c>
      <c r="M364" s="1">
        <v>-258.60700000000003</v>
      </c>
      <c r="N364" s="1">
        <v>-32.324539999999999</v>
      </c>
    </row>
    <row r="365" spans="1:14" x14ac:dyDescent="0.4">
      <c r="B365" s="1">
        <v>18.45</v>
      </c>
      <c r="C365" s="1" t="s">
        <v>376</v>
      </c>
      <c r="D365" s="3">
        <f t="shared" si="39"/>
        <v>1978.42856865</v>
      </c>
      <c r="E365" s="1">
        <v>173.9442</v>
      </c>
      <c r="F365" s="1">
        <v>11.9864</v>
      </c>
      <c r="G365" s="1">
        <v>7.1330999999999998</v>
      </c>
      <c r="H365" s="1">
        <v>23.513000000000002</v>
      </c>
      <c r="I365" s="1">
        <v>26.1496</v>
      </c>
      <c r="J365" s="1">
        <f t="shared" si="35"/>
        <v>19.5397204</v>
      </c>
      <c r="K365" s="1">
        <v>1.0253100000000188</v>
      </c>
      <c r="L365" s="1">
        <f t="shared" si="36"/>
        <v>162.96682898876404</v>
      </c>
      <c r="M365" s="1">
        <v>-261.15215999999998</v>
      </c>
      <c r="N365" s="1">
        <v>-32.595370000000003</v>
      </c>
    </row>
    <row r="366" spans="1:14" x14ac:dyDescent="0.4">
      <c r="B366" s="1">
        <v>18.5</v>
      </c>
      <c r="C366" s="1" t="s">
        <v>377</v>
      </c>
      <c r="D366" s="3">
        <f t="shared" si="39"/>
        <v>1978.2857115000002</v>
      </c>
      <c r="E366" s="1">
        <v>132.2638</v>
      </c>
      <c r="F366" s="1">
        <v>21.867899999999999</v>
      </c>
      <c r="G366" s="1">
        <v>5.1002000000000001</v>
      </c>
      <c r="H366" s="1">
        <v>23.720800000000001</v>
      </c>
      <c r="I366" s="1">
        <v>35.515300000000003</v>
      </c>
      <c r="J366" s="1">
        <f t="shared" si="35"/>
        <v>30.489275600000003</v>
      </c>
      <c r="K366" s="1">
        <v>0.97171000000000163</v>
      </c>
      <c r="L366" s="1">
        <f t="shared" si="36"/>
        <v>115.13499348314608</v>
      </c>
      <c r="M366" s="1">
        <v>-263.29205000000002</v>
      </c>
      <c r="N366" s="1">
        <v>-32.922890000000002</v>
      </c>
    </row>
    <row r="367" spans="1:14" x14ac:dyDescent="0.4">
      <c r="B367" s="1">
        <v>18.55</v>
      </c>
      <c r="C367" s="1" t="s">
        <v>378</v>
      </c>
      <c r="D367" s="3">
        <f t="shared" si="39"/>
        <v>1978.1428543500001</v>
      </c>
      <c r="E367" s="1">
        <v>107.1614</v>
      </c>
      <c r="F367" s="1">
        <v>13.237</v>
      </c>
      <c r="G367" s="1">
        <v>6.1696999999999997</v>
      </c>
      <c r="H367" s="1">
        <v>19.885400000000001</v>
      </c>
      <c r="I367" s="1">
        <v>40.796300000000002</v>
      </c>
      <c r="J367" s="1">
        <f t="shared" si="35"/>
        <v>36.724166800000006</v>
      </c>
      <c r="K367" s="1">
        <v>-1.0680000000036216E-2</v>
      </c>
      <c r="L367" s="1">
        <f t="shared" si="36"/>
        <v>86.529845617977529</v>
      </c>
      <c r="M367" s="1">
        <v>-256.22883999999999</v>
      </c>
      <c r="N367" s="1">
        <v>-32.096760000000003</v>
      </c>
    </row>
    <row r="368" spans="1:14" x14ac:dyDescent="0.4">
      <c r="A368" s="1">
        <v>1978</v>
      </c>
      <c r="B368" s="1">
        <v>18.600000000000001</v>
      </c>
      <c r="C368" s="1" t="s">
        <v>379</v>
      </c>
      <c r="D368" s="3">
        <f>-1.66667*B368+2009</f>
        <v>1977.9999379999999</v>
      </c>
      <c r="E368" s="1">
        <v>83.880399999999995</v>
      </c>
      <c r="F368" s="1">
        <v>10.0472</v>
      </c>
      <c r="G368" s="1">
        <v>6.5430000000000001</v>
      </c>
      <c r="H368" s="1">
        <v>12.357200000000001</v>
      </c>
      <c r="I368" s="1">
        <v>51.0456</v>
      </c>
      <c r="J368" s="1">
        <f t="shared" si="35"/>
        <v>47.858144799999998</v>
      </c>
      <c r="K368" s="1">
        <v>-0.3891999999999598</v>
      </c>
      <c r="L368" s="1">
        <f t="shared" si="36"/>
        <v>56.993801797752809</v>
      </c>
      <c r="M368" s="1">
        <v>-247.52538000000001</v>
      </c>
      <c r="N368" s="1">
        <v>-31.162279999999999</v>
      </c>
    </row>
    <row r="369" spans="1:14" x14ac:dyDescent="0.4">
      <c r="B369" s="1">
        <v>18.649999999999999</v>
      </c>
      <c r="C369" s="1" t="s">
        <v>380</v>
      </c>
      <c r="D369" s="3">
        <f t="shared" ref="D369:D379" si="40">-1.66667*B369+2009</f>
        <v>1977.9166044999999</v>
      </c>
      <c r="E369" s="1">
        <v>64.413499999999999</v>
      </c>
      <c r="F369" s="1">
        <v>6.4859</v>
      </c>
      <c r="G369" s="1">
        <v>5.4537000000000004</v>
      </c>
      <c r="H369" s="1">
        <v>9.0012000000000008</v>
      </c>
      <c r="I369" s="1">
        <v>37.904000000000003</v>
      </c>
      <c r="J369" s="1">
        <f t="shared" si="35"/>
        <v>35.456287000000003</v>
      </c>
      <c r="K369" s="1">
        <v>9.1070000000001983E-2</v>
      </c>
      <c r="L369" s="1">
        <f t="shared" si="36"/>
        <v>44.494237640449441</v>
      </c>
      <c r="M369" s="1">
        <v>-240.74966000000001</v>
      </c>
      <c r="N369" s="1">
        <v>-30.376629999999999</v>
      </c>
    </row>
    <row r="370" spans="1:14" x14ac:dyDescent="0.4">
      <c r="B370" s="1">
        <v>18.7</v>
      </c>
      <c r="C370" s="1" t="s">
        <v>381</v>
      </c>
      <c r="D370" s="3">
        <f t="shared" si="40"/>
        <v>1977.833271</v>
      </c>
      <c r="E370" s="1">
        <v>26.450900000000001</v>
      </c>
      <c r="F370" s="1">
        <v>5.3151999999999999</v>
      </c>
      <c r="G370" s="1">
        <v>7.2831000000000001</v>
      </c>
      <c r="H370" s="1">
        <v>5.3152999999999997</v>
      </c>
      <c r="I370" s="1">
        <v>75.045000000000002</v>
      </c>
      <c r="J370" s="1">
        <f t="shared" si="35"/>
        <v>74.039865800000001</v>
      </c>
      <c r="K370" s="1">
        <v>0.54524000000003525</v>
      </c>
      <c r="L370" s="1">
        <f t="shared" si="36"/>
        <v>-15.144530224719102</v>
      </c>
      <c r="M370" s="1">
        <v>-239.32717</v>
      </c>
      <c r="N370" s="1">
        <v>-30.430119999999999</v>
      </c>
    </row>
    <row r="371" spans="1:14" x14ac:dyDescent="0.4">
      <c r="B371" s="1">
        <v>18.75</v>
      </c>
      <c r="C371" s="1" t="s">
        <v>382</v>
      </c>
      <c r="D371" s="3">
        <f t="shared" si="40"/>
        <v>1977.7499375</v>
      </c>
      <c r="E371" s="1">
        <v>13.213699999999999</v>
      </c>
      <c r="F371" s="1">
        <v>26.882100000000001</v>
      </c>
      <c r="G371" s="1">
        <v>7.9748999999999999</v>
      </c>
      <c r="H371" s="1">
        <v>1.8426</v>
      </c>
      <c r="I371" s="1">
        <v>92.520399999999995</v>
      </c>
      <c r="J371" s="1">
        <f t="shared" si="35"/>
        <v>92.018279399999997</v>
      </c>
      <c r="K371" s="1">
        <v>1.7728599999999801</v>
      </c>
      <c r="L371" s="1">
        <f t="shared" si="36"/>
        <v>-38.481962584269667</v>
      </c>
      <c r="M371" s="1">
        <v>-242.88663</v>
      </c>
      <c r="N371" s="1">
        <v>-30.894359999999999</v>
      </c>
    </row>
    <row r="372" spans="1:14" x14ac:dyDescent="0.4">
      <c r="B372" s="1">
        <v>18.8</v>
      </c>
      <c r="C372" s="1" t="s">
        <v>383</v>
      </c>
      <c r="D372" s="3">
        <f t="shared" si="40"/>
        <v>1977.666604</v>
      </c>
      <c r="E372" s="1">
        <v>34.810400000000001</v>
      </c>
      <c r="F372" s="1">
        <v>6.1468999999999996</v>
      </c>
      <c r="G372" s="1">
        <v>7.9653</v>
      </c>
      <c r="H372" s="1">
        <v>7.5061</v>
      </c>
      <c r="I372" s="1">
        <v>73.407700000000006</v>
      </c>
      <c r="J372" s="1">
        <f t="shared" si="35"/>
        <v>72.084904800000004</v>
      </c>
      <c r="K372" s="1">
        <v>2.2633799999999837</v>
      </c>
      <c r="L372" s="1">
        <f t="shared" si="36"/>
        <v>-5.6867375280898855</v>
      </c>
      <c r="M372" s="1">
        <v>-247.97438</v>
      </c>
      <c r="N372" s="1">
        <v>-31.633590000000002</v>
      </c>
    </row>
    <row r="373" spans="1:14" x14ac:dyDescent="0.4">
      <c r="B373" s="1">
        <v>18.850000000000001</v>
      </c>
      <c r="C373" s="1" t="s">
        <v>384</v>
      </c>
      <c r="D373" s="3">
        <f t="shared" si="40"/>
        <v>1977.5832705</v>
      </c>
      <c r="E373" s="1">
        <v>110.5505</v>
      </c>
      <c r="F373" s="1">
        <v>27.7807</v>
      </c>
      <c r="G373" s="1">
        <v>12.917</v>
      </c>
      <c r="H373" s="1">
        <v>16.196899999999999</v>
      </c>
      <c r="I373" s="1">
        <v>75.016400000000004</v>
      </c>
      <c r="J373" s="1">
        <f t="shared" si="35"/>
        <v>70.815481000000005</v>
      </c>
      <c r="K373" s="1">
        <v>4.1137899999999945</v>
      </c>
      <c r="L373" s="1">
        <f t="shared" si="36"/>
        <v>70.76652191011236</v>
      </c>
      <c r="M373" s="1">
        <v>-257.72805</v>
      </c>
      <c r="N373" s="1">
        <v>-32.429380000000002</v>
      </c>
    </row>
    <row r="374" spans="1:14" x14ac:dyDescent="0.4">
      <c r="B374" s="1">
        <v>18.899999999999999</v>
      </c>
      <c r="C374" s="1" t="s">
        <v>385</v>
      </c>
      <c r="D374" s="3">
        <f t="shared" si="40"/>
        <v>1977.499937</v>
      </c>
      <c r="E374" s="1">
        <v>30.372499999999999</v>
      </c>
      <c r="F374" s="1">
        <v>4.6787000000000001</v>
      </c>
      <c r="G374" s="1">
        <v>4.4065000000000003</v>
      </c>
      <c r="H374" s="1">
        <v>7.0144000000000002</v>
      </c>
      <c r="I374" s="1">
        <v>41.809600000000003</v>
      </c>
      <c r="J374" s="1">
        <f t="shared" si="35"/>
        <v>40.655445</v>
      </c>
      <c r="K374" s="1">
        <v>4.2682499999999948</v>
      </c>
      <c r="L374" s="1">
        <f t="shared" si="36"/>
        <v>7.5323623595505609</v>
      </c>
      <c r="M374" s="1">
        <v>-257.71343999999999</v>
      </c>
      <c r="N374" s="1">
        <v>-32.649299999999997</v>
      </c>
    </row>
    <row r="375" spans="1:14" x14ac:dyDescent="0.4">
      <c r="B375" s="1">
        <v>18.95</v>
      </c>
      <c r="C375" s="1" t="s">
        <v>386</v>
      </c>
      <c r="D375" s="3">
        <f t="shared" si="40"/>
        <v>1977.4166035000001</v>
      </c>
      <c r="E375" s="1">
        <v>180.51130000000001</v>
      </c>
      <c r="F375" s="1">
        <v>33.5321</v>
      </c>
      <c r="G375" s="1">
        <v>17.898199999999999</v>
      </c>
      <c r="H375" s="1">
        <v>28.385100000000001</v>
      </c>
      <c r="I375" s="1">
        <v>54.378100000000003</v>
      </c>
      <c r="J375" s="1">
        <f t="shared" si="35"/>
        <v>47.518670600000007</v>
      </c>
      <c r="K375" s="1">
        <v>5.0943400000000167</v>
      </c>
      <c r="L375" s="1">
        <f t="shared" si="36"/>
        <v>153.81541764044943</v>
      </c>
      <c r="M375" s="1">
        <v>-258.54498999999998</v>
      </c>
      <c r="N375" s="1">
        <v>-32.788499999999999</v>
      </c>
    </row>
    <row r="376" spans="1:14" x14ac:dyDescent="0.4">
      <c r="B376" s="1">
        <v>19</v>
      </c>
      <c r="C376" s="1" t="s">
        <v>387</v>
      </c>
      <c r="D376" s="3">
        <f t="shared" si="40"/>
        <v>1977.3332700000001</v>
      </c>
      <c r="E376" s="1">
        <v>87.284400000000005</v>
      </c>
      <c r="F376" s="1">
        <v>2.617</v>
      </c>
      <c r="G376" s="1">
        <v>7.7667999999999999</v>
      </c>
      <c r="H376" s="1">
        <v>16.599699999999999</v>
      </c>
      <c r="I376" s="1">
        <v>48.530799999999999</v>
      </c>
      <c r="J376" s="1">
        <f t="shared" si="35"/>
        <v>45.2139928</v>
      </c>
      <c r="K376" s="1">
        <v>1.7069900000000189</v>
      </c>
      <c r="L376" s="1">
        <f t="shared" si="36"/>
        <v>61.883280449438203</v>
      </c>
      <c r="M376" s="1">
        <v>-256.34276999999997</v>
      </c>
      <c r="N376" s="1">
        <v>-32.47437</v>
      </c>
    </row>
    <row r="377" spans="1:14" x14ac:dyDescent="0.4">
      <c r="B377" s="1">
        <v>19.05</v>
      </c>
      <c r="C377" s="1" t="s">
        <v>388</v>
      </c>
      <c r="D377" s="3">
        <f t="shared" si="40"/>
        <v>1977.2499365000001</v>
      </c>
      <c r="E377" s="1">
        <v>97.110399999999998</v>
      </c>
      <c r="F377" s="1">
        <v>32.093200000000003</v>
      </c>
      <c r="G377" s="1">
        <v>8.2698999999999998</v>
      </c>
      <c r="H377" s="1">
        <v>17.511600000000001</v>
      </c>
      <c r="I377" s="1">
        <v>35.938099999999999</v>
      </c>
      <c r="J377" s="1">
        <f t="shared" si="35"/>
        <v>32.247904800000001</v>
      </c>
      <c r="K377" s="1">
        <v>3.4809599999999818</v>
      </c>
      <c r="L377" s="1">
        <f t="shared" si="36"/>
        <v>78.993599550561797</v>
      </c>
      <c r="M377" s="1">
        <v>-249.34531999999999</v>
      </c>
      <c r="N377" s="1">
        <v>-31.8948</v>
      </c>
    </row>
    <row r="378" spans="1:14" x14ac:dyDescent="0.4">
      <c r="B378" s="1">
        <v>19.100000000000001</v>
      </c>
      <c r="C378" s="1" t="s">
        <v>389</v>
      </c>
      <c r="D378" s="3">
        <f t="shared" si="40"/>
        <v>1977.1666029999999</v>
      </c>
      <c r="E378" s="1">
        <v>22.423200000000001</v>
      </c>
      <c r="F378" s="1">
        <v>2.5918999999999999</v>
      </c>
      <c r="G378" s="1">
        <v>1.7958000000000001</v>
      </c>
      <c r="H378" s="1">
        <v>5.9805000000000001</v>
      </c>
      <c r="I378" s="1">
        <v>35.440100000000001</v>
      </c>
      <c r="J378" s="1">
        <f t="shared" si="35"/>
        <v>34.588018400000003</v>
      </c>
      <c r="K378" s="1">
        <v>3.7630100000000084</v>
      </c>
      <c r="L378" s="1">
        <f t="shared" si="36"/>
        <v>2.991728988764045</v>
      </c>
      <c r="M378" s="1">
        <v>-248.10703000000001</v>
      </c>
      <c r="N378" s="1">
        <v>-31.176590000000001</v>
      </c>
    </row>
    <row r="379" spans="1:14" x14ac:dyDescent="0.4">
      <c r="B379" s="1">
        <v>19.149999999999999</v>
      </c>
      <c r="C379" s="1" t="s">
        <v>390</v>
      </c>
      <c r="D379" s="3">
        <f t="shared" si="40"/>
        <v>1977.0832694999999</v>
      </c>
      <c r="E379" s="1">
        <v>50.202199999999998</v>
      </c>
      <c r="F379" s="1">
        <v>7.3962000000000003</v>
      </c>
      <c r="G379" s="1">
        <v>10.2857</v>
      </c>
      <c r="H379" s="1">
        <v>9.3644999999999996</v>
      </c>
      <c r="I379" s="1">
        <v>103.17700000000001</v>
      </c>
      <c r="J379" s="1">
        <f t="shared" si="35"/>
        <v>101.26931640000001</v>
      </c>
      <c r="K379" s="1">
        <v>3.4521900000000301</v>
      </c>
      <c r="L379" s="1">
        <f t="shared" si="36"/>
        <v>-6.690674382022479</v>
      </c>
      <c r="M379" s="1">
        <v>-236.3817</v>
      </c>
      <c r="N379" s="1">
        <v>-29.816770000000002</v>
      </c>
    </row>
    <row r="380" spans="1:14" x14ac:dyDescent="0.4">
      <c r="A380" s="1">
        <v>1977</v>
      </c>
      <c r="B380" s="1">
        <v>19.2</v>
      </c>
      <c r="C380" s="1" t="s">
        <v>391</v>
      </c>
      <c r="D380" s="3">
        <f>-2.5*B380+2025</f>
        <v>1977</v>
      </c>
      <c r="E380" s="1">
        <v>20.028199999999998</v>
      </c>
      <c r="F380" s="1">
        <v>6.1060999999999996</v>
      </c>
      <c r="G380" s="1">
        <v>2.4773999999999998</v>
      </c>
      <c r="H380" s="1">
        <v>3.0306999999999999</v>
      </c>
      <c r="I380" s="1">
        <v>39.730800000000002</v>
      </c>
      <c r="J380" s="1">
        <f t="shared" si="35"/>
        <v>38.969728400000001</v>
      </c>
      <c r="K380" s="1">
        <v>5.8130800000000136</v>
      </c>
      <c r="L380" s="1">
        <f t="shared" si="36"/>
        <v>-1.8649058426966327</v>
      </c>
      <c r="M380" s="1">
        <v>-228.86727999999999</v>
      </c>
      <c r="N380" s="1">
        <v>-28.797619999999998</v>
      </c>
    </row>
    <row r="381" spans="1:14" x14ac:dyDescent="0.4">
      <c r="B381" s="1">
        <v>19.25</v>
      </c>
      <c r="C381" s="1" t="s">
        <v>392</v>
      </c>
      <c r="D381" s="3">
        <f t="shared" ref="D381:D387" si="41">-2.5*B381+2025</f>
        <v>1976.875</v>
      </c>
      <c r="E381" s="1">
        <v>19.3766</v>
      </c>
      <c r="F381" s="1">
        <v>72.754199999999997</v>
      </c>
      <c r="G381" s="1">
        <v>4.4617000000000004</v>
      </c>
      <c r="H381" s="1">
        <v>3.0880999999999998</v>
      </c>
      <c r="I381" s="1">
        <v>32.662199999999999</v>
      </c>
      <c r="J381" s="1">
        <f t="shared" si="35"/>
        <v>31.9258892</v>
      </c>
      <c r="K381" s="1">
        <v>1.3056899999999985</v>
      </c>
      <c r="L381" s="1">
        <f t="shared" si="36"/>
        <v>1.440707191011235</v>
      </c>
      <c r="M381" s="1">
        <v>-222.77544</v>
      </c>
      <c r="N381" s="1">
        <v>-28.204789999999999</v>
      </c>
    </row>
    <row r="382" spans="1:14" x14ac:dyDescent="0.4">
      <c r="B382" s="1">
        <v>19.3</v>
      </c>
      <c r="C382" s="1" t="s">
        <v>393</v>
      </c>
      <c r="D382" s="3">
        <f t="shared" si="41"/>
        <v>1976.75</v>
      </c>
      <c r="E382" s="1">
        <v>14.257099999999999</v>
      </c>
      <c r="F382" s="1">
        <v>7.5251000000000001</v>
      </c>
      <c r="G382" s="1">
        <v>2.5388000000000002</v>
      </c>
      <c r="H382" s="1">
        <v>2.9005999999999998</v>
      </c>
      <c r="I382" s="1">
        <v>46.849400000000003</v>
      </c>
      <c r="J382" s="1">
        <f t="shared" si="35"/>
        <v>46.307630200000006</v>
      </c>
      <c r="K382" s="1">
        <v>2.1524600000000191</v>
      </c>
      <c r="L382" s="1">
        <f t="shared" si="36"/>
        <v>-11.758422584269665</v>
      </c>
      <c r="M382" s="1">
        <v>-223.77359999999999</v>
      </c>
      <c r="N382" s="1">
        <v>-28.331589999999998</v>
      </c>
    </row>
    <row r="383" spans="1:14" x14ac:dyDescent="0.4">
      <c r="B383" s="1">
        <v>19.350000000000001</v>
      </c>
      <c r="C383" s="1" t="s">
        <v>394</v>
      </c>
      <c r="D383" s="3">
        <f t="shared" si="41"/>
        <v>1976.625</v>
      </c>
      <c r="E383" s="1">
        <v>20.094000000000001</v>
      </c>
      <c r="F383" s="1">
        <v>20.342500000000001</v>
      </c>
      <c r="G383" s="1">
        <v>7.3502000000000001</v>
      </c>
      <c r="H383" s="1">
        <v>3.1726000000000001</v>
      </c>
      <c r="I383" s="1">
        <v>47.630299999999998</v>
      </c>
      <c r="J383" s="1">
        <f t="shared" si="35"/>
        <v>46.866727999999995</v>
      </c>
      <c r="K383" s="1">
        <v>1.5136799999999937</v>
      </c>
      <c r="L383" s="1">
        <f t="shared" si="36"/>
        <v>-6.2356224719101085</v>
      </c>
      <c r="M383" s="1">
        <v>-230.09184999999999</v>
      </c>
      <c r="N383" s="1">
        <v>-29.356780000000001</v>
      </c>
    </row>
    <row r="384" spans="1:14" x14ac:dyDescent="0.4">
      <c r="B384" s="1">
        <v>19.399999999999999</v>
      </c>
      <c r="C384" s="1" t="s">
        <v>395</v>
      </c>
      <c r="D384" s="3">
        <f t="shared" si="41"/>
        <v>1976.5</v>
      </c>
      <c r="E384" s="1">
        <v>15.0289</v>
      </c>
      <c r="F384" s="1">
        <v>11.5107</v>
      </c>
      <c r="G384" s="1">
        <v>1.3833</v>
      </c>
      <c r="H384" s="1">
        <v>3.3866000000000001</v>
      </c>
      <c r="I384" s="1">
        <v>43.3949</v>
      </c>
      <c r="J384" s="1">
        <f t="shared" si="35"/>
        <v>42.823801799999998</v>
      </c>
      <c r="K384" s="1">
        <v>2.8628799999999899</v>
      </c>
      <c r="L384" s="1">
        <f t="shared" si="36"/>
        <v>-9.0294156179775271</v>
      </c>
      <c r="M384" s="1">
        <v>-242.62921</v>
      </c>
      <c r="N384" s="1">
        <v>-30.794979999999999</v>
      </c>
    </row>
    <row r="385" spans="1:14" x14ac:dyDescent="0.4">
      <c r="B385" s="1">
        <v>19.45</v>
      </c>
      <c r="C385" s="1" t="s">
        <v>396</v>
      </c>
      <c r="D385" s="3">
        <f t="shared" si="41"/>
        <v>1976.375</v>
      </c>
      <c r="E385" s="1">
        <v>18.030899999999999</v>
      </c>
      <c r="F385" s="1">
        <v>56.879100000000001</v>
      </c>
      <c r="G385" s="1">
        <v>11.254799999999999</v>
      </c>
      <c r="H385" s="1">
        <v>2.1699000000000002</v>
      </c>
      <c r="I385" s="1">
        <v>111.5157</v>
      </c>
      <c r="J385" s="1">
        <f t="shared" si="35"/>
        <v>110.83052579999999</v>
      </c>
      <c r="K385" s="1">
        <v>2.8791200000000003</v>
      </c>
      <c r="L385" s="1">
        <f t="shared" si="36"/>
        <v>-44.233440337078648</v>
      </c>
      <c r="N385" s="1">
        <v>-31.812339999999999</v>
      </c>
    </row>
    <row r="386" spans="1:14" x14ac:dyDescent="0.4">
      <c r="B386" s="1">
        <v>19.5</v>
      </c>
      <c r="C386" s="1" t="s">
        <v>397</v>
      </c>
      <c r="D386" s="3">
        <f t="shared" si="41"/>
        <v>1976.25</v>
      </c>
      <c r="E386" s="1">
        <v>86.165700000000001</v>
      </c>
      <c r="F386" s="1">
        <v>8.2332999999999998</v>
      </c>
      <c r="G386" s="1">
        <v>4.0805999999999996</v>
      </c>
      <c r="H386" s="1">
        <v>18.9847</v>
      </c>
      <c r="I386" s="1">
        <v>50.222200000000001</v>
      </c>
      <c r="J386" s="1">
        <f t="shared" si="35"/>
        <v>46.947903400000001</v>
      </c>
      <c r="K386" s="1">
        <v>4.7623900000000106</v>
      </c>
      <c r="L386" s="1">
        <f t="shared" si="36"/>
        <v>59.790473370786515</v>
      </c>
      <c r="M386" s="1">
        <v>-261.83013</v>
      </c>
      <c r="N386" s="1">
        <v>-32.71604</v>
      </c>
    </row>
    <row r="387" spans="1:14" x14ac:dyDescent="0.4">
      <c r="B387" s="1">
        <v>19.55</v>
      </c>
      <c r="C387" s="1" t="s">
        <v>398</v>
      </c>
      <c r="D387" s="3">
        <f t="shared" si="41"/>
        <v>1976.125</v>
      </c>
      <c r="E387" s="1">
        <v>235.47499999999999</v>
      </c>
      <c r="F387" s="1">
        <v>39.336199999999998</v>
      </c>
      <c r="G387" s="1">
        <v>11.1233</v>
      </c>
      <c r="H387" s="1">
        <v>40.124499999999998</v>
      </c>
      <c r="I387" s="1">
        <v>88.593100000000007</v>
      </c>
      <c r="J387" s="1">
        <f t="shared" ref="J387:J450" si="42">I387-0.038*E387</f>
        <v>79.645050000000012</v>
      </c>
      <c r="K387" s="1">
        <v>3.7306299999999908</v>
      </c>
      <c r="L387" s="1">
        <f t="shared" ref="L387:L450" si="43">E387-(J387/1.78)</f>
        <v>190.73058988764043</v>
      </c>
      <c r="M387" s="1">
        <v>-250.49394000000001</v>
      </c>
      <c r="N387" s="1">
        <v>-31.37021</v>
      </c>
    </row>
    <row r="388" spans="1:14" x14ac:dyDescent="0.4">
      <c r="A388" s="1">
        <v>1976</v>
      </c>
      <c r="B388" s="1">
        <v>19.600000000000001</v>
      </c>
      <c r="C388" s="1" t="s">
        <v>399</v>
      </c>
      <c r="D388" s="3">
        <f>-1.818182*B388+2011.636364</f>
        <v>1975.9999968</v>
      </c>
      <c r="E388" s="1">
        <v>19.4252</v>
      </c>
      <c r="F388" s="1">
        <v>40.969200000000001</v>
      </c>
      <c r="G388" s="1">
        <v>7.2980999999999998</v>
      </c>
      <c r="H388" s="1">
        <v>18.446400000000001</v>
      </c>
      <c r="I388" s="1">
        <v>100.1692</v>
      </c>
      <c r="J388" s="1">
        <f t="shared" si="42"/>
        <v>99.43104240000001</v>
      </c>
      <c r="L388" s="1">
        <f t="shared" si="43"/>
        <v>-36.434936179775292</v>
      </c>
      <c r="M388" s="1">
        <v>-238.21520000000001</v>
      </c>
      <c r="N388" s="1">
        <v>-30.106159999999999</v>
      </c>
    </row>
    <row r="389" spans="1:14" x14ac:dyDescent="0.4">
      <c r="B389" s="1">
        <v>19.649999999999999</v>
      </c>
      <c r="C389" s="1" t="s">
        <v>400</v>
      </c>
      <c r="D389" s="3">
        <f t="shared" ref="D389:D398" si="44">-1.818182*B389+2011.636364</f>
        <v>1975.9090876999999</v>
      </c>
      <c r="E389" s="1">
        <v>36.533700000000003</v>
      </c>
      <c r="F389" s="1">
        <v>108.2856</v>
      </c>
      <c r="G389" s="1">
        <v>11.862</v>
      </c>
      <c r="H389" s="1">
        <v>25.674099999999999</v>
      </c>
      <c r="I389" s="1">
        <v>201.42699999999999</v>
      </c>
      <c r="J389" s="1">
        <f t="shared" si="42"/>
        <v>200.03871939999999</v>
      </c>
      <c r="K389" s="1">
        <v>-0.1018100000000004</v>
      </c>
      <c r="L389" s="1">
        <f t="shared" si="43"/>
        <v>-75.847603033707856</v>
      </c>
      <c r="M389" s="1">
        <v>-231.58152999999999</v>
      </c>
      <c r="N389" s="1">
        <v>-29.162769999999998</v>
      </c>
    </row>
    <row r="390" spans="1:14" x14ac:dyDescent="0.4">
      <c r="B390" s="1">
        <v>19.7</v>
      </c>
      <c r="C390" s="1" t="s">
        <v>401</v>
      </c>
      <c r="D390" s="3">
        <f t="shared" si="44"/>
        <v>1975.8181786</v>
      </c>
      <c r="E390" s="1">
        <v>18.160799999999998</v>
      </c>
      <c r="F390" s="1">
        <v>27.8154</v>
      </c>
      <c r="G390" s="1">
        <v>4.1631999999999998</v>
      </c>
      <c r="H390" s="1">
        <v>12.1914</v>
      </c>
      <c r="I390" s="1">
        <v>64.262699999999995</v>
      </c>
      <c r="J390" s="1">
        <f t="shared" si="42"/>
        <v>63.572589599999993</v>
      </c>
      <c r="K390" s="1">
        <v>0.46773999999999205</v>
      </c>
      <c r="L390" s="1">
        <f t="shared" si="43"/>
        <v>-17.554137977528089</v>
      </c>
      <c r="M390" s="1">
        <v>-238.51179999999999</v>
      </c>
      <c r="N390" s="1">
        <v>-29.99024</v>
      </c>
    </row>
    <row r="391" spans="1:14" x14ac:dyDescent="0.4">
      <c r="B391" s="1">
        <v>19.75</v>
      </c>
      <c r="C391" s="1" t="s">
        <v>402</v>
      </c>
      <c r="D391" s="3">
        <f t="shared" si="44"/>
        <v>1975.7272694999999</v>
      </c>
      <c r="E391" s="1">
        <v>14.120900000000001</v>
      </c>
      <c r="F391" s="1">
        <v>12.555199999999999</v>
      </c>
      <c r="G391" s="1">
        <v>4.4726999999999997</v>
      </c>
      <c r="H391" s="1">
        <v>7.2718999999999996</v>
      </c>
      <c r="I391" s="1">
        <v>125.9584</v>
      </c>
      <c r="J391" s="1">
        <f t="shared" si="42"/>
        <v>125.4218058</v>
      </c>
      <c r="K391" s="1">
        <v>2.6340799999999831</v>
      </c>
      <c r="L391" s="1">
        <f t="shared" si="43"/>
        <v>-56.340788651685394</v>
      </c>
      <c r="M391" s="1">
        <v>-243.33427</v>
      </c>
      <c r="N391" s="1">
        <v>-30.631979999999999</v>
      </c>
    </row>
    <row r="392" spans="1:14" x14ac:dyDescent="0.4">
      <c r="B392" s="1">
        <v>19.8</v>
      </c>
      <c r="C392" s="1" t="s">
        <v>403</v>
      </c>
      <c r="D392" s="3">
        <f t="shared" si="44"/>
        <v>1975.6363604000001</v>
      </c>
      <c r="E392" s="1">
        <v>53.930199999999999</v>
      </c>
      <c r="F392" s="1">
        <v>15.835100000000001</v>
      </c>
      <c r="G392" s="1">
        <v>4.5126999999999997</v>
      </c>
      <c r="H392" s="1">
        <v>17.1174</v>
      </c>
      <c r="I392" s="1">
        <v>70.198899999999995</v>
      </c>
      <c r="J392" s="1">
        <f t="shared" si="42"/>
        <v>68.14955239999999</v>
      </c>
      <c r="K392" s="1">
        <v>1.7206299999999999</v>
      </c>
      <c r="L392" s="1">
        <f t="shared" si="43"/>
        <v>15.643934606741581</v>
      </c>
      <c r="M392" s="1">
        <v>-257.76020999999997</v>
      </c>
      <c r="N392" s="1">
        <v>-32.26529</v>
      </c>
    </row>
    <row r="393" spans="1:14" x14ac:dyDescent="0.4">
      <c r="B393" s="1">
        <v>19.850000000000001</v>
      </c>
      <c r="C393" s="1" t="s">
        <v>404</v>
      </c>
      <c r="D393" s="3">
        <f t="shared" si="44"/>
        <v>1975.5454513</v>
      </c>
      <c r="E393" s="1">
        <v>257.05680000000001</v>
      </c>
      <c r="F393" s="1">
        <v>62.197299999999998</v>
      </c>
      <c r="G393" s="1">
        <v>13.533300000000001</v>
      </c>
      <c r="H393" s="1">
        <v>30.0716</v>
      </c>
      <c r="I393" s="1">
        <v>118.5596</v>
      </c>
      <c r="J393" s="1">
        <f t="shared" si="42"/>
        <v>108.7914416</v>
      </c>
      <c r="K393" s="1">
        <v>1.4101200000000063</v>
      </c>
      <c r="L393" s="1">
        <f t="shared" si="43"/>
        <v>195.93801258426967</v>
      </c>
      <c r="M393" s="1">
        <v>-271.75479000000001</v>
      </c>
      <c r="N393" s="1">
        <v>-33.88456</v>
      </c>
    </row>
    <row r="394" spans="1:14" x14ac:dyDescent="0.4">
      <c r="B394" s="1">
        <v>19.899999999999999</v>
      </c>
      <c r="C394" s="1" t="s">
        <v>405</v>
      </c>
      <c r="D394" s="3">
        <f t="shared" si="44"/>
        <v>1975.4545421999999</v>
      </c>
      <c r="E394" s="1">
        <v>35.440300000000001</v>
      </c>
      <c r="F394" s="1">
        <v>22.540500000000002</v>
      </c>
      <c r="G394" s="1">
        <v>6.8270999999999997</v>
      </c>
      <c r="H394" s="1">
        <v>19.7209</v>
      </c>
      <c r="I394" s="1">
        <v>63.844099999999997</v>
      </c>
      <c r="J394" s="1">
        <f t="shared" si="42"/>
        <v>62.497368599999994</v>
      </c>
      <c r="K394" s="1">
        <v>1.7215699999999856</v>
      </c>
      <c r="L394" s="1">
        <f t="shared" si="43"/>
        <v>0.32941876404494508</v>
      </c>
      <c r="M394" s="1">
        <v>-275.70681000000002</v>
      </c>
      <c r="N394" s="1">
        <v>-34.727600000000002</v>
      </c>
    </row>
    <row r="395" spans="1:14" x14ac:dyDescent="0.4">
      <c r="B395" s="1">
        <v>19.95</v>
      </c>
      <c r="C395" s="1" t="s">
        <v>406</v>
      </c>
      <c r="D395" s="3">
        <f t="shared" si="44"/>
        <v>1975.3636331</v>
      </c>
      <c r="E395" s="1">
        <v>39.134900000000002</v>
      </c>
      <c r="F395" s="1">
        <v>81.556100000000001</v>
      </c>
      <c r="G395" s="1">
        <v>9.8697999999999997</v>
      </c>
      <c r="H395" s="1">
        <v>16.703600000000002</v>
      </c>
      <c r="I395" s="1">
        <v>130.0737</v>
      </c>
      <c r="J395" s="1">
        <f t="shared" si="42"/>
        <v>128.5865738</v>
      </c>
      <c r="K395" s="1">
        <v>0.36211000000002969</v>
      </c>
      <c r="L395" s="1">
        <f t="shared" si="43"/>
        <v>-33.10474820224718</v>
      </c>
      <c r="M395" s="1">
        <v>-248.05595</v>
      </c>
      <c r="N395" s="1">
        <v>-31.27591</v>
      </c>
    </row>
    <row r="396" spans="1:14" x14ac:dyDescent="0.4">
      <c r="B396" s="1">
        <v>20</v>
      </c>
      <c r="C396" s="1" t="s">
        <v>407</v>
      </c>
      <c r="D396" s="3">
        <f t="shared" si="44"/>
        <v>1975.2727239999999</v>
      </c>
      <c r="E396" s="1">
        <v>20.4848</v>
      </c>
      <c r="F396" s="1">
        <v>13.9954</v>
      </c>
      <c r="G396" s="1">
        <v>6.1052999999999997</v>
      </c>
      <c r="H396" s="1">
        <v>7.7122000000000002</v>
      </c>
      <c r="I396" s="1">
        <v>59.519799999999996</v>
      </c>
      <c r="J396" s="1">
        <f t="shared" si="42"/>
        <v>58.7413776</v>
      </c>
      <c r="K396" s="1">
        <v>-0.6783100000000104</v>
      </c>
      <c r="L396" s="1">
        <f t="shared" si="43"/>
        <v>-12.515973932584266</v>
      </c>
      <c r="M396" s="1">
        <v>-233.94825</v>
      </c>
      <c r="N396" s="1">
        <v>-29.549040000000002</v>
      </c>
    </row>
    <row r="397" spans="1:14" x14ac:dyDescent="0.4">
      <c r="B397" s="1">
        <v>20.05</v>
      </c>
      <c r="C397" s="1" t="s">
        <v>408</v>
      </c>
      <c r="D397" s="3">
        <f t="shared" si="44"/>
        <v>1975.1818149000001</v>
      </c>
      <c r="E397" s="1">
        <v>132.93190000000001</v>
      </c>
      <c r="F397" s="1">
        <v>84.993700000000004</v>
      </c>
      <c r="G397" s="1">
        <v>47.601199999999999</v>
      </c>
      <c r="H397" s="1">
        <v>89.226900000000001</v>
      </c>
      <c r="I397" s="1">
        <v>691.8913</v>
      </c>
      <c r="J397" s="1">
        <f t="shared" si="42"/>
        <v>686.83988780000004</v>
      </c>
      <c r="K397" s="1">
        <v>2.1139900000000011</v>
      </c>
      <c r="L397" s="1">
        <f t="shared" si="43"/>
        <v>-252.93320550561796</v>
      </c>
      <c r="M397" s="1">
        <v>-218.69475</v>
      </c>
      <c r="N397" s="1">
        <v>-27.803059999999999</v>
      </c>
    </row>
    <row r="398" spans="1:14" x14ac:dyDescent="0.4">
      <c r="B398" s="1">
        <v>20.100000000000001</v>
      </c>
      <c r="C398" s="1" t="s">
        <v>409</v>
      </c>
      <c r="D398" s="3">
        <f t="shared" si="44"/>
        <v>1975.0909058</v>
      </c>
      <c r="E398" s="1">
        <v>9.1204999999999998</v>
      </c>
      <c r="F398" s="1">
        <v>33.2395</v>
      </c>
      <c r="G398" s="1">
        <v>4.4435000000000002</v>
      </c>
      <c r="H398" s="1">
        <v>8.5027000000000008</v>
      </c>
      <c r="I398" s="1">
        <v>57.075800000000001</v>
      </c>
      <c r="J398" s="1">
        <f t="shared" si="42"/>
        <v>56.729221000000003</v>
      </c>
      <c r="K398" s="1">
        <v>2.1513300000000015</v>
      </c>
      <c r="L398" s="1">
        <f t="shared" si="43"/>
        <v>-22.749848876404496</v>
      </c>
      <c r="M398" s="1">
        <v>-209.54248000000001</v>
      </c>
      <c r="N398" s="1">
        <v>-26.85473</v>
      </c>
    </row>
    <row r="399" spans="1:14" x14ac:dyDescent="0.4">
      <c r="A399" s="1">
        <v>1975</v>
      </c>
      <c r="B399" s="1">
        <v>20.149999999999999</v>
      </c>
      <c r="C399" s="1" t="s">
        <v>410</v>
      </c>
      <c r="D399" s="3">
        <f>-1*B399+1995.15</f>
        <v>1975</v>
      </c>
      <c r="E399" s="1">
        <v>19.6526</v>
      </c>
      <c r="F399" s="1">
        <v>33.007100000000001</v>
      </c>
      <c r="G399" s="1">
        <v>15.763</v>
      </c>
      <c r="H399" s="1">
        <v>17.0289</v>
      </c>
      <c r="I399" s="1">
        <v>290.85629999999998</v>
      </c>
      <c r="J399" s="1">
        <f t="shared" si="42"/>
        <v>290.10950119999995</v>
      </c>
      <c r="K399" s="1">
        <v>2.4440700000000106</v>
      </c>
      <c r="L399" s="1">
        <f t="shared" si="43"/>
        <v>-143.3302658426966</v>
      </c>
      <c r="M399" s="1">
        <v>-206.78718000000001</v>
      </c>
      <c r="N399" s="1">
        <v>-26.385159999999999</v>
      </c>
    </row>
    <row r="400" spans="1:14" x14ac:dyDescent="0.4">
      <c r="B400" s="1">
        <v>20.2</v>
      </c>
      <c r="C400" s="1" t="s">
        <v>411</v>
      </c>
      <c r="D400" s="3">
        <f t="shared" ref="D400:D418" si="45">-1*B400+1995.15</f>
        <v>1974.95</v>
      </c>
      <c r="E400" s="1">
        <v>389.02699999999999</v>
      </c>
      <c r="F400" s="1">
        <v>85.875500000000002</v>
      </c>
      <c r="G400" s="1">
        <v>63.467500000000001</v>
      </c>
      <c r="H400" s="1">
        <v>73.056399999999996</v>
      </c>
      <c r="I400" s="1">
        <v>259.10079999999999</v>
      </c>
      <c r="J400" s="1">
        <f t="shared" si="42"/>
        <v>244.31777399999999</v>
      </c>
      <c r="K400" s="1">
        <v>3.7297299999999893</v>
      </c>
      <c r="L400" s="1">
        <f t="shared" si="43"/>
        <v>251.76982359550561</v>
      </c>
      <c r="M400" s="1">
        <v>-206.47651999999999</v>
      </c>
      <c r="N400" s="1">
        <v>-26.326350000000001</v>
      </c>
    </row>
    <row r="401" spans="2:14" x14ac:dyDescent="0.4">
      <c r="B401" s="1">
        <v>20.25</v>
      </c>
      <c r="C401" s="1" t="s">
        <v>412</v>
      </c>
      <c r="D401" s="3">
        <f t="shared" si="45"/>
        <v>1974.9</v>
      </c>
      <c r="E401" s="1">
        <v>16.5152</v>
      </c>
      <c r="F401" s="1">
        <v>99.733500000000006</v>
      </c>
      <c r="G401" s="1">
        <v>10.4574</v>
      </c>
      <c r="H401" s="1">
        <v>10.7629</v>
      </c>
      <c r="I401" s="1">
        <v>260.02629999999999</v>
      </c>
      <c r="J401" s="1">
        <f t="shared" si="42"/>
        <v>259.3987224</v>
      </c>
      <c r="K401" s="1">
        <v>5.2953599999999881</v>
      </c>
      <c r="L401" s="1">
        <f t="shared" si="43"/>
        <v>-129.2144193258427</v>
      </c>
      <c r="M401" s="1">
        <v>-220.23014000000001</v>
      </c>
      <c r="N401" s="1">
        <v>-27.753060000000001</v>
      </c>
    </row>
    <row r="402" spans="2:14" x14ac:dyDescent="0.4">
      <c r="B402" s="1">
        <v>20.3</v>
      </c>
      <c r="C402" s="1" t="s">
        <v>413</v>
      </c>
      <c r="D402" s="3">
        <f t="shared" si="45"/>
        <v>1974.8500000000001</v>
      </c>
      <c r="E402" s="1">
        <v>12.1509</v>
      </c>
      <c r="F402" s="1">
        <v>41.578099999999999</v>
      </c>
      <c r="G402" s="1">
        <v>1.7102999999999999</v>
      </c>
      <c r="H402" s="1">
        <v>7.9280999999999997</v>
      </c>
      <c r="I402" s="1">
        <v>54.3934</v>
      </c>
      <c r="J402" s="1">
        <f t="shared" si="42"/>
        <v>53.931665799999998</v>
      </c>
      <c r="K402" s="1">
        <v>4.294099999999986</v>
      </c>
      <c r="L402" s="1">
        <f t="shared" si="43"/>
        <v>-18.147788651685392</v>
      </c>
      <c r="M402" s="1">
        <v>-224.15702999999999</v>
      </c>
      <c r="N402" s="1">
        <v>-28.254470000000001</v>
      </c>
    </row>
    <row r="403" spans="2:14" x14ac:dyDescent="0.4">
      <c r="B403" s="1">
        <v>20.350000000000001</v>
      </c>
      <c r="C403" s="1" t="s">
        <v>414</v>
      </c>
      <c r="D403" s="3">
        <f t="shared" si="45"/>
        <v>1974.8000000000002</v>
      </c>
      <c r="E403" s="1">
        <v>196.39779999999999</v>
      </c>
      <c r="F403" s="1">
        <v>106.2803</v>
      </c>
      <c r="G403" s="1">
        <v>17.2057</v>
      </c>
      <c r="H403" s="1">
        <v>29.250800000000002</v>
      </c>
      <c r="I403" s="1">
        <v>270.7158</v>
      </c>
      <c r="J403" s="1">
        <f t="shared" si="42"/>
        <v>263.25268360000001</v>
      </c>
      <c r="K403" s="1">
        <v>4.1342800000000182</v>
      </c>
      <c r="L403" s="1">
        <f t="shared" si="43"/>
        <v>48.503033932584259</v>
      </c>
      <c r="M403" s="1">
        <v>-236.46413000000001</v>
      </c>
      <c r="N403" s="1">
        <v>-29.685559999999999</v>
      </c>
    </row>
    <row r="404" spans="2:14" x14ac:dyDescent="0.4">
      <c r="B404" s="1">
        <v>20.399999999999999</v>
      </c>
      <c r="C404" s="1" t="s">
        <v>415</v>
      </c>
      <c r="D404" s="3">
        <f t="shared" si="45"/>
        <v>1974.75</v>
      </c>
      <c r="E404" s="1">
        <v>11.2273</v>
      </c>
      <c r="F404" s="1">
        <v>10.3973</v>
      </c>
      <c r="G404" s="1">
        <v>1.5903</v>
      </c>
      <c r="H404" s="1">
        <v>4.2558999999999996</v>
      </c>
      <c r="I404" s="1">
        <v>46.098999999999997</v>
      </c>
      <c r="J404" s="1">
        <f t="shared" si="42"/>
        <v>45.6723626</v>
      </c>
      <c r="K404" s="1">
        <v>1.7943400000000054</v>
      </c>
      <c r="L404" s="1">
        <f t="shared" si="43"/>
        <v>-14.431330674157302</v>
      </c>
      <c r="M404" s="1">
        <v>-246.47739000000001</v>
      </c>
      <c r="N404" s="1">
        <v>-30.908190000000001</v>
      </c>
    </row>
    <row r="405" spans="2:14" x14ac:dyDescent="0.4">
      <c r="B405" s="1">
        <v>20.45</v>
      </c>
      <c r="C405" s="1" t="s">
        <v>416</v>
      </c>
      <c r="D405" s="3">
        <f t="shared" si="45"/>
        <v>1974.7</v>
      </c>
      <c r="E405" s="1">
        <v>126.0153</v>
      </c>
      <c r="F405" s="1">
        <v>18.6402</v>
      </c>
      <c r="G405" s="1">
        <v>11.4777</v>
      </c>
      <c r="H405" s="1">
        <v>22.277899999999999</v>
      </c>
      <c r="I405" s="1">
        <v>237.4324</v>
      </c>
      <c r="J405" s="1">
        <f t="shared" si="42"/>
        <v>232.6438186</v>
      </c>
      <c r="K405" s="1">
        <v>1.8787300000000187</v>
      </c>
      <c r="L405" s="1">
        <f t="shared" si="43"/>
        <v>-4.6834744943820397</v>
      </c>
      <c r="M405" s="1">
        <v>-252.49583000000001</v>
      </c>
      <c r="N405" s="1">
        <v>-31.94529</v>
      </c>
    </row>
    <row r="406" spans="2:14" x14ac:dyDescent="0.4">
      <c r="B406" s="1">
        <v>20.5</v>
      </c>
      <c r="C406" s="1" t="s">
        <v>417</v>
      </c>
      <c r="D406" s="3">
        <f t="shared" si="45"/>
        <v>1974.65</v>
      </c>
      <c r="E406" s="1">
        <v>15.9757</v>
      </c>
      <c r="F406" s="1">
        <v>11.294499999999999</v>
      </c>
      <c r="G406" s="1">
        <v>1.0935999999999999</v>
      </c>
      <c r="H406" s="1">
        <v>8.6791</v>
      </c>
      <c r="I406" s="1">
        <v>37.678400000000003</v>
      </c>
      <c r="J406" s="1">
        <f t="shared" si="42"/>
        <v>37.071323400000004</v>
      </c>
      <c r="K406" s="1">
        <v>1.0203499999999792</v>
      </c>
      <c r="L406" s="1">
        <f t="shared" si="43"/>
        <v>-4.8508861797752836</v>
      </c>
      <c r="M406" s="1">
        <v>-253.23021</v>
      </c>
      <c r="N406" s="1">
        <v>-31.953970000000002</v>
      </c>
    </row>
    <row r="407" spans="2:14" x14ac:dyDescent="0.4">
      <c r="B407" s="1">
        <v>20.55</v>
      </c>
      <c r="C407" s="1" t="s">
        <v>418</v>
      </c>
      <c r="D407" s="3">
        <f t="shared" si="45"/>
        <v>1974.6000000000001</v>
      </c>
      <c r="E407" s="1">
        <v>61.948599999999999</v>
      </c>
      <c r="F407" s="1">
        <v>82.386300000000006</v>
      </c>
      <c r="G407" s="1">
        <v>20.767199999999999</v>
      </c>
      <c r="H407" s="1">
        <v>8.6554000000000002</v>
      </c>
      <c r="I407" s="1">
        <v>379.04090000000002</v>
      </c>
      <c r="J407" s="1">
        <f t="shared" si="42"/>
        <v>376.68685320000003</v>
      </c>
      <c r="K407" s="1">
        <v>0.78812999999999533</v>
      </c>
      <c r="L407" s="1">
        <f t="shared" si="43"/>
        <v>-149.67322764044945</v>
      </c>
      <c r="M407" s="1">
        <v>-243.80779999999999</v>
      </c>
      <c r="N407" s="1">
        <v>-30.769300000000001</v>
      </c>
    </row>
    <row r="408" spans="2:14" x14ac:dyDescent="0.4">
      <c r="B408" s="1">
        <v>20.6</v>
      </c>
      <c r="C408" s="1" t="s">
        <v>419</v>
      </c>
      <c r="D408" s="3">
        <f t="shared" si="45"/>
        <v>1974.5500000000002</v>
      </c>
      <c r="E408" s="1">
        <v>33.656799999999997</v>
      </c>
      <c r="F408" s="1">
        <v>8.0729000000000006</v>
      </c>
      <c r="G408" s="1">
        <v>3.7496999999999998</v>
      </c>
      <c r="H408" s="1">
        <v>9.9061000000000003</v>
      </c>
      <c r="I408" s="1">
        <v>42.652000000000001</v>
      </c>
      <c r="J408" s="1">
        <f t="shared" si="42"/>
        <v>41.373041600000001</v>
      </c>
      <c r="K408" s="1">
        <v>3.0664899999999875</v>
      </c>
      <c r="L408" s="1">
        <f t="shared" si="43"/>
        <v>10.413518202247189</v>
      </c>
      <c r="M408" s="1">
        <v>-245.02251999999999</v>
      </c>
      <c r="N408" s="1">
        <v>-31.1374</v>
      </c>
    </row>
    <row r="409" spans="2:14" x14ac:dyDescent="0.4">
      <c r="B409" s="1">
        <v>20.65</v>
      </c>
      <c r="C409" s="1" t="s">
        <v>420</v>
      </c>
      <c r="D409" s="3">
        <f t="shared" si="45"/>
        <v>1974.5</v>
      </c>
      <c r="E409" s="1">
        <v>114.7085</v>
      </c>
      <c r="F409" s="1">
        <v>16.493200000000002</v>
      </c>
      <c r="G409" s="1">
        <v>14.3371</v>
      </c>
      <c r="H409" s="1">
        <v>26.229199999999999</v>
      </c>
      <c r="I409" s="1">
        <v>217.8768</v>
      </c>
      <c r="J409" s="1">
        <f t="shared" si="42"/>
        <v>213.517877</v>
      </c>
      <c r="K409" s="1">
        <v>2.4015500000000145</v>
      </c>
      <c r="L409" s="1">
        <f t="shared" si="43"/>
        <v>-5.2453634831460647</v>
      </c>
      <c r="M409" s="1">
        <v>-253.59645</v>
      </c>
      <c r="N409" s="1">
        <v>-32.034640000000003</v>
      </c>
    </row>
    <row r="410" spans="2:14" x14ac:dyDescent="0.4">
      <c r="B410" s="1">
        <v>20.7</v>
      </c>
      <c r="C410" s="1" t="s">
        <v>421</v>
      </c>
      <c r="D410" s="3">
        <f t="shared" si="45"/>
        <v>1974.45</v>
      </c>
      <c r="E410" s="1">
        <v>137.82249999999999</v>
      </c>
      <c r="F410" s="1">
        <v>20.616599999999998</v>
      </c>
      <c r="G410" s="1">
        <v>7.7804000000000002</v>
      </c>
      <c r="H410" s="1">
        <v>20.9755</v>
      </c>
      <c r="I410" s="1">
        <v>51.170299999999997</v>
      </c>
      <c r="J410" s="1">
        <f t="shared" si="42"/>
        <v>45.933045</v>
      </c>
      <c r="K410" s="1">
        <v>2.3466000000000236</v>
      </c>
      <c r="L410" s="1">
        <f t="shared" si="43"/>
        <v>112.01741853932583</v>
      </c>
      <c r="M410" s="1">
        <v>-263.44517999999999</v>
      </c>
      <c r="N410" s="1">
        <v>-33.283679999999997</v>
      </c>
    </row>
    <row r="411" spans="2:14" x14ac:dyDescent="0.4">
      <c r="B411" s="1">
        <v>20.75</v>
      </c>
      <c r="C411" s="1" t="s">
        <v>422</v>
      </c>
      <c r="D411" s="3">
        <f t="shared" si="45"/>
        <v>1974.4</v>
      </c>
      <c r="E411" s="1">
        <v>419.45940000000002</v>
      </c>
      <c r="F411" s="1">
        <v>132.7227</v>
      </c>
      <c r="G411" s="1">
        <v>27.240200000000002</v>
      </c>
      <c r="H411" s="1">
        <v>52.678899999999999</v>
      </c>
      <c r="I411" s="1">
        <v>297.267</v>
      </c>
      <c r="J411" s="1">
        <f t="shared" si="42"/>
        <v>281.3275428</v>
      </c>
      <c r="K411" s="1">
        <v>4.0766800000000103</v>
      </c>
      <c r="L411" s="1">
        <f t="shared" si="43"/>
        <v>261.4102186516854</v>
      </c>
      <c r="M411" s="1">
        <v>-268.93563999999998</v>
      </c>
      <c r="N411" s="1">
        <v>-33.777549999999998</v>
      </c>
    </row>
    <row r="412" spans="2:14" x14ac:dyDescent="0.4">
      <c r="B412" s="1">
        <v>20.8</v>
      </c>
      <c r="C412" s="1" t="s">
        <v>423</v>
      </c>
      <c r="D412" s="3">
        <f t="shared" si="45"/>
        <v>1974.3500000000001</v>
      </c>
      <c r="E412" s="1">
        <v>29.397200000000002</v>
      </c>
      <c r="F412" s="1">
        <v>10.155799999999999</v>
      </c>
      <c r="G412" s="1">
        <v>2.7294</v>
      </c>
      <c r="H412" s="1">
        <v>5.2953000000000001</v>
      </c>
      <c r="I412" s="1">
        <v>31.388200000000001</v>
      </c>
      <c r="J412" s="1">
        <f t="shared" si="42"/>
        <v>30.271106400000001</v>
      </c>
      <c r="K412" s="1">
        <v>2.6806700000000205</v>
      </c>
      <c r="L412" s="1">
        <f t="shared" si="43"/>
        <v>12.390960449438204</v>
      </c>
      <c r="M412" s="1">
        <v>-271.54327000000001</v>
      </c>
      <c r="N412" s="1">
        <v>-34.195309999999999</v>
      </c>
    </row>
    <row r="413" spans="2:14" x14ac:dyDescent="0.4">
      <c r="B413" s="1">
        <v>20.85</v>
      </c>
      <c r="C413" s="1" t="s">
        <v>424</v>
      </c>
      <c r="D413" s="3">
        <f t="shared" si="45"/>
        <v>1974.3000000000002</v>
      </c>
      <c r="E413" s="1">
        <v>187.98009999999999</v>
      </c>
      <c r="F413" s="1">
        <v>94.098299999999995</v>
      </c>
      <c r="G413" s="1">
        <v>15.3568</v>
      </c>
      <c r="H413" s="1">
        <v>23.245699999999999</v>
      </c>
      <c r="I413" s="1">
        <v>178.67939999999999</v>
      </c>
      <c r="J413" s="1">
        <f t="shared" si="42"/>
        <v>171.53615619999999</v>
      </c>
      <c r="K413" s="1">
        <v>2.8242599999999811</v>
      </c>
      <c r="L413" s="1">
        <f t="shared" si="43"/>
        <v>91.611472921348309</v>
      </c>
      <c r="M413" s="1">
        <v>-265.13990999999999</v>
      </c>
      <c r="N413" s="1">
        <v>-33.816020000000002</v>
      </c>
    </row>
    <row r="414" spans="2:14" x14ac:dyDescent="0.4">
      <c r="B414" s="1">
        <v>20.9</v>
      </c>
      <c r="C414" s="1" t="s">
        <v>425</v>
      </c>
      <c r="D414" s="3">
        <f t="shared" si="45"/>
        <v>1974.25</v>
      </c>
      <c r="E414" s="1">
        <v>45.182600000000001</v>
      </c>
      <c r="F414" s="1">
        <v>2.9157999999999999</v>
      </c>
      <c r="G414" s="1">
        <v>6.8319000000000001</v>
      </c>
      <c r="H414" s="1">
        <v>9.2015999999999991</v>
      </c>
      <c r="I414" s="1">
        <v>64.418300000000002</v>
      </c>
      <c r="J414" s="1">
        <f t="shared" si="42"/>
        <v>62.701361200000001</v>
      </c>
      <c r="K414" s="1">
        <v>1.2847600000000057</v>
      </c>
      <c r="L414" s="1">
        <f t="shared" si="43"/>
        <v>9.9571161797752836</v>
      </c>
      <c r="M414" s="1">
        <v>-257.92444999999998</v>
      </c>
      <c r="N414" s="1">
        <v>-32.768479999999997</v>
      </c>
    </row>
    <row r="415" spans="2:14" x14ac:dyDescent="0.4">
      <c r="B415" s="1">
        <v>20.95</v>
      </c>
      <c r="C415" s="1" t="s">
        <v>426</v>
      </c>
      <c r="D415" s="3">
        <f t="shared" si="45"/>
        <v>1974.2</v>
      </c>
      <c r="E415" s="1">
        <v>195.97739999999999</v>
      </c>
      <c r="F415" s="1">
        <v>132.0325</v>
      </c>
      <c r="G415" s="1">
        <v>18.668399999999998</v>
      </c>
      <c r="H415" s="1">
        <v>29.371600000000001</v>
      </c>
      <c r="I415" s="1">
        <v>275.79599999999999</v>
      </c>
      <c r="J415" s="1">
        <f t="shared" si="42"/>
        <v>268.34885880000002</v>
      </c>
      <c r="K415" s="1">
        <v>2.0192099999999868</v>
      </c>
      <c r="L415" s="1">
        <f t="shared" si="43"/>
        <v>45.21961415730334</v>
      </c>
      <c r="M415" s="1">
        <v>-255.22904</v>
      </c>
      <c r="N415" s="1">
        <v>-32.471829999999997</v>
      </c>
    </row>
    <row r="416" spans="2:14" x14ac:dyDescent="0.4">
      <c r="B416" s="1">
        <v>21</v>
      </c>
      <c r="C416" s="1" t="s">
        <v>427</v>
      </c>
      <c r="D416" s="3">
        <f t="shared" si="45"/>
        <v>1974.15</v>
      </c>
      <c r="E416" s="1">
        <v>104.178</v>
      </c>
      <c r="F416" s="1">
        <v>1.5337000000000001</v>
      </c>
      <c r="G416" s="1">
        <v>8.6458999999999993</v>
      </c>
      <c r="H416" s="1">
        <v>11.910500000000001</v>
      </c>
      <c r="I416" s="1">
        <v>25.994800000000001</v>
      </c>
      <c r="J416" s="1">
        <f t="shared" si="42"/>
        <v>22.036036000000003</v>
      </c>
      <c r="K416" s="1">
        <v>5.3882500000000277</v>
      </c>
      <c r="L416" s="1">
        <f t="shared" si="43"/>
        <v>91.79820449438202</v>
      </c>
      <c r="M416" s="1">
        <v>-253.23157</v>
      </c>
      <c r="N416" s="1">
        <v>-32.155639999999998</v>
      </c>
    </row>
    <row r="417" spans="1:14" x14ac:dyDescent="0.4">
      <c r="B417" s="1">
        <v>21.05</v>
      </c>
      <c r="C417" s="1" t="s">
        <v>428</v>
      </c>
      <c r="D417" s="3">
        <f t="shared" si="45"/>
        <v>1974.1000000000001</v>
      </c>
      <c r="E417" s="1">
        <v>83.729900000000001</v>
      </c>
      <c r="F417" s="1">
        <v>79.190600000000003</v>
      </c>
      <c r="G417" s="1">
        <v>12.461399999999999</v>
      </c>
      <c r="H417" s="1">
        <v>12.994400000000001</v>
      </c>
      <c r="I417" s="1">
        <v>228.38939999999999</v>
      </c>
      <c r="J417" s="1">
        <f t="shared" si="42"/>
        <v>225.20766380000001</v>
      </c>
      <c r="K417" s="1">
        <v>4.2233899999999949</v>
      </c>
      <c r="L417" s="1">
        <f t="shared" si="43"/>
        <v>-42.791259438202246</v>
      </c>
      <c r="M417" s="1">
        <v>-250.23249999999999</v>
      </c>
      <c r="N417" s="1">
        <v>-31.749420000000001</v>
      </c>
    </row>
    <row r="418" spans="1:14" x14ac:dyDescent="0.4">
      <c r="B418" s="1">
        <v>21.1</v>
      </c>
      <c r="C418" s="1" t="s">
        <v>429</v>
      </c>
      <c r="D418" s="3">
        <f t="shared" si="45"/>
        <v>1974.0500000000002</v>
      </c>
      <c r="E418" s="1">
        <v>115.651</v>
      </c>
      <c r="F418" s="1">
        <v>43.054400000000001</v>
      </c>
      <c r="G418" s="1">
        <v>64.447699999999998</v>
      </c>
      <c r="H418" s="1">
        <v>10.7958</v>
      </c>
      <c r="I418" s="1">
        <v>72.324799999999996</v>
      </c>
      <c r="J418" s="1">
        <f t="shared" si="42"/>
        <v>67.930061999999992</v>
      </c>
      <c r="K418" s="1">
        <v>4.545599999999979</v>
      </c>
      <c r="L418" s="1">
        <f t="shared" si="43"/>
        <v>77.488043820224718</v>
      </c>
      <c r="M418" s="1">
        <v>-245.68226000000001</v>
      </c>
      <c r="N418" s="1">
        <v>-31.256799999999998</v>
      </c>
    </row>
    <row r="419" spans="1:14" x14ac:dyDescent="0.4">
      <c r="A419" s="1">
        <v>1974</v>
      </c>
      <c r="B419" s="1">
        <v>21.15</v>
      </c>
      <c r="C419" s="1" t="s">
        <v>430</v>
      </c>
      <c r="D419" s="3">
        <f>-1.176471*B419+1998.882353</f>
        <v>1973.9999913500001</v>
      </c>
      <c r="E419" s="1">
        <v>83.182400000000001</v>
      </c>
      <c r="F419" s="1">
        <v>79.527500000000003</v>
      </c>
      <c r="G419" s="1">
        <v>13.393599999999999</v>
      </c>
      <c r="H419" s="1">
        <v>10.491</v>
      </c>
      <c r="I419" s="1">
        <v>301.79640000000001</v>
      </c>
      <c r="J419" s="1">
        <f t="shared" si="42"/>
        <v>298.63546880000001</v>
      </c>
      <c r="K419" s="1">
        <v>4.0135499999999809</v>
      </c>
      <c r="L419" s="1">
        <f t="shared" si="43"/>
        <v>-84.59033528089887</v>
      </c>
      <c r="M419" s="1">
        <v>-241.81738000000001</v>
      </c>
      <c r="N419" s="1">
        <v>-30.71003</v>
      </c>
    </row>
    <row r="420" spans="1:14" x14ac:dyDescent="0.4">
      <c r="B420" s="1">
        <v>21.2</v>
      </c>
      <c r="C420" s="1" t="s">
        <v>431</v>
      </c>
      <c r="D420" s="3">
        <f t="shared" ref="D420:D435" si="46">-1.176471*B420+1998.882353</f>
        <v>1973.9411677999999</v>
      </c>
      <c r="E420" s="1">
        <v>25.733499999999999</v>
      </c>
      <c r="F420" s="1">
        <v>13.398999999999999</v>
      </c>
      <c r="G420" s="1">
        <v>5.9882</v>
      </c>
      <c r="H420" s="1">
        <v>3.2239</v>
      </c>
      <c r="I420" s="1">
        <v>33.135399999999997</v>
      </c>
      <c r="J420" s="1">
        <f t="shared" si="42"/>
        <v>32.157526999999995</v>
      </c>
      <c r="K420" s="1">
        <v>3.7628600000000176</v>
      </c>
      <c r="L420" s="1">
        <f t="shared" si="43"/>
        <v>7.6674735955056192</v>
      </c>
      <c r="M420" s="1">
        <v>-241.06348</v>
      </c>
      <c r="N420" s="1">
        <v>-30.666879999999999</v>
      </c>
    </row>
    <row r="421" spans="1:14" x14ac:dyDescent="0.4">
      <c r="B421" s="1">
        <v>21.25</v>
      </c>
      <c r="C421" s="1" t="s">
        <v>432</v>
      </c>
      <c r="D421" s="3">
        <f t="shared" si="46"/>
        <v>1973.88234425</v>
      </c>
      <c r="E421" s="1">
        <v>70.5886</v>
      </c>
      <c r="F421" s="1">
        <v>94.520300000000006</v>
      </c>
      <c r="G421" s="1">
        <v>14.865399999999999</v>
      </c>
      <c r="H421" s="1">
        <v>7.5967000000000002</v>
      </c>
      <c r="I421" s="1">
        <v>427.85480000000001</v>
      </c>
      <c r="J421" s="1">
        <f t="shared" si="42"/>
        <v>425.1724332</v>
      </c>
      <c r="K421" s="1">
        <v>4.3721399999999733</v>
      </c>
      <c r="L421" s="1">
        <f t="shared" si="43"/>
        <v>-168.2723175280899</v>
      </c>
      <c r="M421" s="1">
        <v>-245.50297</v>
      </c>
      <c r="N421" s="1">
        <v>-31.07433</v>
      </c>
    </row>
    <row r="422" spans="1:14" x14ac:dyDescent="0.4">
      <c r="B422" s="1">
        <v>21.3</v>
      </c>
      <c r="C422" s="1" t="s">
        <v>433</v>
      </c>
      <c r="D422" s="3">
        <f t="shared" si="46"/>
        <v>1973.8235207</v>
      </c>
      <c r="E422" s="1">
        <v>31.504999999999999</v>
      </c>
      <c r="F422" s="1">
        <v>5.5616000000000003</v>
      </c>
      <c r="G422" s="1">
        <v>3.2063000000000001</v>
      </c>
      <c r="H422" s="1">
        <v>7.8848000000000003</v>
      </c>
      <c r="I422" s="1">
        <v>46.819800000000001</v>
      </c>
      <c r="J422" s="1">
        <f t="shared" si="42"/>
        <v>45.622610000000002</v>
      </c>
      <c r="K422" s="1">
        <v>3.8628599999999835</v>
      </c>
      <c r="L422" s="1">
        <f t="shared" si="43"/>
        <v>5.8743202247190993</v>
      </c>
      <c r="M422" s="1">
        <v>-252.32127</v>
      </c>
      <c r="N422" s="1">
        <v>-31.69286</v>
      </c>
    </row>
    <row r="423" spans="1:14" x14ac:dyDescent="0.4">
      <c r="B423" s="1">
        <v>21.35</v>
      </c>
      <c r="C423" s="1" t="s">
        <v>434</v>
      </c>
      <c r="D423" s="3">
        <f t="shared" si="46"/>
        <v>1973.7646971500001</v>
      </c>
      <c r="E423" s="1">
        <v>58.878399999999999</v>
      </c>
      <c r="F423" s="1">
        <v>11.667</v>
      </c>
      <c r="G423" s="1">
        <v>9.4205000000000005</v>
      </c>
      <c r="H423" s="1">
        <v>7.2248000000000001</v>
      </c>
      <c r="I423" s="1">
        <v>200.79419999999999</v>
      </c>
      <c r="J423" s="1">
        <f t="shared" si="42"/>
        <v>198.5568208</v>
      </c>
      <c r="K423" s="1">
        <v>4.2715599999999938</v>
      </c>
      <c r="L423" s="1">
        <f t="shared" si="43"/>
        <v>-52.670375730337071</v>
      </c>
      <c r="M423" s="1">
        <v>-261.80658</v>
      </c>
      <c r="N423" s="1">
        <v>-33.029789999999998</v>
      </c>
    </row>
    <row r="424" spans="1:14" x14ac:dyDescent="0.4">
      <c r="B424" s="1">
        <v>21.4</v>
      </c>
      <c r="C424" s="1" t="s">
        <v>435</v>
      </c>
      <c r="D424" s="3">
        <f t="shared" si="46"/>
        <v>1973.7058735999999</v>
      </c>
      <c r="E424" s="1">
        <v>24.551200000000001</v>
      </c>
      <c r="F424" s="1">
        <v>20.1465</v>
      </c>
      <c r="G424" s="1">
        <v>3.7513999999999998</v>
      </c>
      <c r="H424" s="1">
        <v>3.1065</v>
      </c>
      <c r="I424" s="1">
        <v>30.853300000000001</v>
      </c>
      <c r="J424" s="1">
        <f t="shared" si="42"/>
        <v>29.920354400000001</v>
      </c>
      <c r="K424" s="1">
        <v>3.0916699999999935</v>
      </c>
      <c r="L424" s="1">
        <f t="shared" si="43"/>
        <v>7.7420121348314623</v>
      </c>
      <c r="M424" s="1">
        <v>-265.85897999999997</v>
      </c>
      <c r="N424" s="1">
        <v>-33.191369999999999</v>
      </c>
    </row>
    <row r="425" spans="1:14" x14ac:dyDescent="0.4">
      <c r="B425" s="1">
        <v>21.45</v>
      </c>
      <c r="C425" s="1" t="s">
        <v>436</v>
      </c>
      <c r="D425" s="3">
        <f t="shared" si="46"/>
        <v>1973.64705005</v>
      </c>
      <c r="E425" s="1">
        <v>329.0514</v>
      </c>
      <c r="F425" s="1">
        <v>139.13</v>
      </c>
      <c r="G425" s="1">
        <v>174.05340000000001</v>
      </c>
      <c r="H425" s="1">
        <v>30.0564</v>
      </c>
      <c r="I425" s="1">
        <v>329.18950000000001</v>
      </c>
      <c r="J425" s="1">
        <f t="shared" si="42"/>
        <v>316.6855468</v>
      </c>
      <c r="K425" s="1">
        <v>1.2216099999999983</v>
      </c>
      <c r="L425" s="1">
        <f t="shared" si="43"/>
        <v>151.13817146067416</v>
      </c>
      <c r="M425" s="1">
        <v>-266.14044999999999</v>
      </c>
      <c r="N425" s="1">
        <v>-33.45532</v>
      </c>
    </row>
    <row r="426" spans="1:14" x14ac:dyDescent="0.4">
      <c r="B426" s="1">
        <v>21.5</v>
      </c>
      <c r="C426" s="1" t="s">
        <v>437</v>
      </c>
      <c r="D426" s="3">
        <f t="shared" si="46"/>
        <v>1973.5882265</v>
      </c>
      <c r="E426" s="1">
        <v>308.1499</v>
      </c>
      <c r="F426" s="1">
        <v>31.6754</v>
      </c>
      <c r="G426" s="1">
        <v>37.127000000000002</v>
      </c>
      <c r="H426" s="1">
        <v>13.344099999999999</v>
      </c>
      <c r="I426" s="1">
        <v>56.8127</v>
      </c>
      <c r="J426" s="1">
        <f t="shared" si="42"/>
        <v>45.103003799999996</v>
      </c>
      <c r="K426" s="1">
        <v>2.4317399999999907</v>
      </c>
      <c r="L426" s="1">
        <f t="shared" si="43"/>
        <v>282.81113382022471</v>
      </c>
      <c r="M426" s="1">
        <v>-262.25133</v>
      </c>
      <c r="N426" s="1">
        <v>-33.18186</v>
      </c>
    </row>
    <row r="427" spans="1:14" x14ac:dyDescent="0.4">
      <c r="B427" s="1">
        <v>21.55</v>
      </c>
      <c r="C427" s="1" t="s">
        <v>438</v>
      </c>
      <c r="D427" s="3">
        <f t="shared" si="46"/>
        <v>1973.5294029500001</v>
      </c>
      <c r="E427" s="1">
        <v>85.148499999999999</v>
      </c>
      <c r="F427" s="1">
        <v>80.399699999999996</v>
      </c>
      <c r="G427" s="1">
        <v>25.8523</v>
      </c>
      <c r="H427" s="1">
        <v>24.9514</v>
      </c>
      <c r="I427" s="1">
        <v>207.1019</v>
      </c>
      <c r="J427" s="1">
        <f t="shared" si="42"/>
        <v>203.86625699999999</v>
      </c>
      <c r="K427" s="1">
        <v>-0.32801999999998088</v>
      </c>
      <c r="L427" s="1">
        <f t="shared" si="43"/>
        <v>-29.383105056179772</v>
      </c>
      <c r="M427" s="1">
        <v>-252.58041</v>
      </c>
      <c r="N427" s="1">
        <v>-31.741099999999999</v>
      </c>
    </row>
    <row r="428" spans="1:14" x14ac:dyDescent="0.4">
      <c r="B428" s="1">
        <v>21.6</v>
      </c>
      <c r="C428" s="1" t="s">
        <v>439</v>
      </c>
      <c r="D428" s="3">
        <f t="shared" si="46"/>
        <v>1973.4705793999999</v>
      </c>
      <c r="E428" s="1">
        <v>22.028400000000001</v>
      </c>
      <c r="F428" s="1">
        <v>27.6875</v>
      </c>
      <c r="G428" s="1">
        <v>5.2903000000000002</v>
      </c>
      <c r="H428" s="1">
        <v>2.8589000000000002</v>
      </c>
      <c r="I428" s="1">
        <v>31.706299999999999</v>
      </c>
      <c r="J428" s="1">
        <f t="shared" si="42"/>
        <v>30.869220799999997</v>
      </c>
      <c r="K428" s="1">
        <v>1.502110000000016</v>
      </c>
      <c r="L428" s="1">
        <f t="shared" si="43"/>
        <v>4.6861411235955082</v>
      </c>
      <c r="M428" s="1">
        <v>-248.27844999999999</v>
      </c>
      <c r="N428" s="1">
        <v>-31.544499999999999</v>
      </c>
    </row>
    <row r="429" spans="1:14" x14ac:dyDescent="0.4">
      <c r="B429" s="1">
        <v>21.65</v>
      </c>
      <c r="C429" s="1" t="s">
        <v>440</v>
      </c>
      <c r="D429" s="3">
        <f t="shared" si="46"/>
        <v>1973.41175585</v>
      </c>
      <c r="E429" s="1">
        <v>117.05710000000001</v>
      </c>
      <c r="F429" s="1">
        <v>75.258700000000005</v>
      </c>
      <c r="G429" s="1">
        <v>11.6105</v>
      </c>
      <c r="H429" s="1">
        <v>14.5337</v>
      </c>
      <c r="I429" s="1">
        <v>165.61369999999999</v>
      </c>
      <c r="J429" s="1">
        <f t="shared" si="42"/>
        <v>161.16553020000001</v>
      </c>
      <c r="K429" s="1">
        <v>3.203550000000007</v>
      </c>
      <c r="L429" s="1">
        <f t="shared" si="43"/>
        <v>26.514667303370786</v>
      </c>
      <c r="M429" s="1">
        <v>-237.16758999999999</v>
      </c>
      <c r="N429" s="1">
        <v>-30.20438</v>
      </c>
    </row>
    <row r="430" spans="1:14" x14ac:dyDescent="0.4">
      <c r="B430" s="1">
        <v>21.7</v>
      </c>
      <c r="C430" s="1" t="s">
        <v>441</v>
      </c>
      <c r="D430" s="3">
        <f t="shared" si="46"/>
        <v>1973.3529323</v>
      </c>
      <c r="E430" s="1">
        <v>34.618200000000002</v>
      </c>
      <c r="F430" s="1">
        <v>8.3642000000000003</v>
      </c>
      <c r="G430" s="1">
        <v>2.3119000000000001</v>
      </c>
      <c r="H430" s="1">
        <v>4.7050000000000001</v>
      </c>
      <c r="I430" s="1">
        <v>50.2896</v>
      </c>
      <c r="J430" s="1">
        <f t="shared" si="42"/>
        <v>48.974108399999999</v>
      </c>
      <c r="K430" s="1">
        <v>1.3483899999999949</v>
      </c>
      <c r="L430" s="1">
        <f t="shared" si="43"/>
        <v>7.104655955056181</v>
      </c>
      <c r="M430" s="1">
        <v>-225.06097</v>
      </c>
      <c r="N430" s="1">
        <v>-28.671209999999999</v>
      </c>
    </row>
    <row r="431" spans="1:14" x14ac:dyDescent="0.4">
      <c r="B431" s="1">
        <v>21.75</v>
      </c>
      <c r="C431" s="1" t="s">
        <v>442</v>
      </c>
      <c r="D431" s="3">
        <f t="shared" si="46"/>
        <v>1973.2941087499999</v>
      </c>
      <c r="E431" s="1">
        <v>219.744</v>
      </c>
      <c r="F431" s="1">
        <v>7.6468999999999996</v>
      </c>
      <c r="G431" s="1">
        <v>10.820499999999999</v>
      </c>
      <c r="H431" s="1">
        <v>25.5261</v>
      </c>
      <c r="I431" s="1">
        <v>208.80090000000001</v>
      </c>
      <c r="J431" s="1">
        <f t="shared" si="42"/>
        <v>200.45062800000002</v>
      </c>
      <c r="K431" s="1">
        <v>4.0775500000000022</v>
      </c>
      <c r="L431" s="1">
        <f t="shared" si="43"/>
        <v>107.13128764044943</v>
      </c>
      <c r="M431" s="1">
        <v>-215.96431000000001</v>
      </c>
      <c r="N431" s="1">
        <v>-27.506239999999998</v>
      </c>
    </row>
    <row r="432" spans="1:14" x14ac:dyDescent="0.4">
      <c r="B432" s="1">
        <v>21.8</v>
      </c>
      <c r="C432" s="1" t="s">
        <v>443</v>
      </c>
      <c r="D432" s="3">
        <f t="shared" si="46"/>
        <v>1973.2352851999999</v>
      </c>
      <c r="E432" s="1">
        <v>33.7879</v>
      </c>
      <c r="F432" s="1">
        <v>12.6836</v>
      </c>
      <c r="G432" s="1">
        <v>5.5541999999999998</v>
      </c>
      <c r="H432" s="1">
        <v>3.0007999999999999</v>
      </c>
      <c r="I432" s="1">
        <v>41.972200000000001</v>
      </c>
      <c r="J432" s="1">
        <f t="shared" si="42"/>
        <v>40.688259799999997</v>
      </c>
      <c r="K432" s="1">
        <v>4.4674500000000137</v>
      </c>
      <c r="L432" s="1">
        <f t="shared" si="43"/>
        <v>10.929327078651689</v>
      </c>
      <c r="M432" s="1">
        <v>-214.02624</v>
      </c>
      <c r="N432" s="1">
        <v>-27.018429999999999</v>
      </c>
    </row>
    <row r="433" spans="1:14" x14ac:dyDescent="0.4">
      <c r="B433" s="1">
        <v>21.85</v>
      </c>
      <c r="C433" s="1" t="s">
        <v>444</v>
      </c>
      <c r="D433" s="3">
        <f t="shared" si="46"/>
        <v>1973.17646165</v>
      </c>
      <c r="E433" s="1">
        <v>84.6571</v>
      </c>
      <c r="F433" s="1">
        <v>9.0327000000000002</v>
      </c>
      <c r="G433" s="1">
        <v>7.4602000000000004</v>
      </c>
      <c r="H433" s="1">
        <v>12.4481</v>
      </c>
      <c r="I433" s="1">
        <v>186.59610000000001</v>
      </c>
      <c r="J433" s="1">
        <f t="shared" si="42"/>
        <v>183.37913020000002</v>
      </c>
      <c r="K433" s="1">
        <v>4.3087099999999907</v>
      </c>
      <c r="L433" s="1">
        <f t="shared" si="43"/>
        <v>-18.364883258426971</v>
      </c>
      <c r="M433" s="1">
        <v>-216.06381999999999</v>
      </c>
      <c r="N433" s="1">
        <v>-27.293299999999999</v>
      </c>
    </row>
    <row r="434" spans="1:14" x14ac:dyDescent="0.4">
      <c r="B434" s="1">
        <v>21.9</v>
      </c>
      <c r="C434" s="1" t="s">
        <v>445</v>
      </c>
      <c r="D434" s="3">
        <f t="shared" si="46"/>
        <v>1973.1176381</v>
      </c>
      <c r="E434" s="1">
        <v>41.774700000000003</v>
      </c>
      <c r="F434" s="1">
        <v>9.0602999999999998</v>
      </c>
      <c r="G434" s="1">
        <v>2.0495000000000001</v>
      </c>
      <c r="H434" s="1">
        <v>6.08</v>
      </c>
      <c r="I434" s="1">
        <v>17.674299999999999</v>
      </c>
      <c r="J434" s="1">
        <f t="shared" si="42"/>
        <v>16.0868614</v>
      </c>
      <c r="K434" s="1">
        <v>4.0856099999999742</v>
      </c>
      <c r="L434" s="1">
        <f t="shared" si="43"/>
        <v>32.737137415730338</v>
      </c>
      <c r="M434" s="1">
        <v>-217.35923</v>
      </c>
      <c r="N434" s="1">
        <v>-27.213439999999999</v>
      </c>
    </row>
    <row r="435" spans="1:14" x14ac:dyDescent="0.4">
      <c r="B435" s="1">
        <v>21.95</v>
      </c>
      <c r="C435" s="1" t="s">
        <v>446</v>
      </c>
      <c r="D435" s="3">
        <f t="shared" si="46"/>
        <v>1973.0588145500001</v>
      </c>
      <c r="E435" s="1">
        <v>134.03739999999999</v>
      </c>
      <c r="F435" s="1">
        <v>84.316900000000004</v>
      </c>
      <c r="G435" s="1">
        <v>23.220400000000001</v>
      </c>
      <c r="H435" s="1">
        <v>6.3026999999999997</v>
      </c>
      <c r="I435" s="1">
        <v>138.26820000000001</v>
      </c>
      <c r="J435" s="1">
        <f t="shared" si="42"/>
        <v>133.17477880000001</v>
      </c>
      <c r="K435" s="1">
        <v>2.1211999999999875</v>
      </c>
      <c r="L435" s="1">
        <f t="shared" si="43"/>
        <v>59.220108539325821</v>
      </c>
      <c r="M435" s="1">
        <v>-216.77082999999999</v>
      </c>
      <c r="N435" s="1">
        <v>-26.834599999999998</v>
      </c>
    </row>
    <row r="436" spans="1:14" x14ac:dyDescent="0.4">
      <c r="A436" s="1">
        <v>1973</v>
      </c>
      <c r="B436" s="1">
        <v>22</v>
      </c>
      <c r="C436" s="1" t="s">
        <v>447</v>
      </c>
      <c r="D436" s="3">
        <f>-1.818182*B436+2013</f>
        <v>1972.999996</v>
      </c>
      <c r="E436" s="1">
        <v>9.1953999999999994</v>
      </c>
      <c r="F436" s="1">
        <v>24.060600000000001</v>
      </c>
      <c r="G436" s="1">
        <v>1.2997000000000001</v>
      </c>
      <c r="H436" s="1">
        <v>1.7012</v>
      </c>
      <c r="I436" s="1">
        <v>27.502300000000002</v>
      </c>
      <c r="J436" s="1">
        <f t="shared" si="42"/>
        <v>27.152874800000003</v>
      </c>
      <c r="K436" s="1">
        <v>2.2825799999999958</v>
      </c>
      <c r="L436" s="1">
        <f t="shared" si="43"/>
        <v>-6.059024044943822</v>
      </c>
      <c r="M436" s="1">
        <v>-213.06226000000001</v>
      </c>
      <c r="N436" s="1">
        <v>-26.795750000000002</v>
      </c>
    </row>
    <row r="437" spans="1:14" x14ac:dyDescent="0.4">
      <c r="B437" s="1">
        <v>22.05</v>
      </c>
      <c r="C437" s="1" t="s">
        <v>448</v>
      </c>
      <c r="D437" s="3">
        <f t="shared" ref="D437:D446" si="47">-1.818182*B437+2013</f>
        <v>1972.9090868999999</v>
      </c>
      <c r="E437" s="1">
        <v>36.218699999999998</v>
      </c>
      <c r="F437" s="1">
        <v>56.769799999999996</v>
      </c>
      <c r="G437" s="1">
        <v>18.539100000000001</v>
      </c>
      <c r="H437" s="1">
        <v>6.7865000000000002</v>
      </c>
      <c r="I437" s="1">
        <v>275.47719999999998</v>
      </c>
      <c r="J437" s="1">
        <f t="shared" si="42"/>
        <v>274.10088939999997</v>
      </c>
      <c r="K437" s="1">
        <v>0.34828999999999155</v>
      </c>
      <c r="L437" s="1">
        <f t="shared" si="43"/>
        <v>-117.77056370786515</v>
      </c>
      <c r="M437" s="1">
        <v>-197.13695999999999</v>
      </c>
      <c r="N437" s="1">
        <v>-25.25461</v>
      </c>
    </row>
    <row r="438" spans="1:14" x14ac:dyDescent="0.4">
      <c r="B438" s="1">
        <v>22.1</v>
      </c>
      <c r="C438" s="1" t="s">
        <v>449</v>
      </c>
      <c r="D438" s="3">
        <f t="shared" si="47"/>
        <v>1972.8181778000001</v>
      </c>
      <c r="E438" s="1">
        <v>26.207799999999999</v>
      </c>
      <c r="F438" s="1">
        <v>9.8422999999999998</v>
      </c>
      <c r="G438" s="1">
        <v>2.9249000000000001</v>
      </c>
      <c r="H438" s="1">
        <v>4.3212999999999999</v>
      </c>
      <c r="I438" s="1">
        <v>32.783799999999999</v>
      </c>
      <c r="J438" s="1">
        <f t="shared" si="42"/>
        <v>31.7879036</v>
      </c>
      <c r="K438" s="1">
        <v>-2.0940300000000036</v>
      </c>
      <c r="L438" s="1">
        <f t="shared" si="43"/>
        <v>8.3494271910112339</v>
      </c>
      <c r="N438" s="1">
        <v>-25.844270000000002</v>
      </c>
    </row>
    <row r="439" spans="1:14" x14ac:dyDescent="0.4">
      <c r="B439" s="1">
        <v>22.15</v>
      </c>
      <c r="C439" s="1" t="s">
        <v>450</v>
      </c>
      <c r="D439" s="3">
        <f t="shared" si="47"/>
        <v>1972.7272687</v>
      </c>
      <c r="E439" s="1">
        <v>175.9667</v>
      </c>
      <c r="F439" s="1">
        <v>39.315300000000001</v>
      </c>
      <c r="G439" s="1">
        <v>16.974</v>
      </c>
      <c r="H439" s="1">
        <v>26.8492</v>
      </c>
      <c r="I439" s="1">
        <v>293.62599999999998</v>
      </c>
      <c r="J439" s="1">
        <f t="shared" si="42"/>
        <v>286.93926539999995</v>
      </c>
      <c r="K439" s="1">
        <v>1.3037400000000048</v>
      </c>
      <c r="L439" s="1">
        <f t="shared" si="43"/>
        <v>14.764865505618019</v>
      </c>
      <c r="M439" s="1">
        <v>-217.42160999999999</v>
      </c>
      <c r="N439" s="1">
        <v>-27.273990000000001</v>
      </c>
    </row>
    <row r="440" spans="1:14" x14ac:dyDescent="0.4">
      <c r="B440" s="1">
        <v>22.2</v>
      </c>
      <c r="C440" s="1" t="s">
        <v>451</v>
      </c>
      <c r="D440" s="3">
        <f t="shared" si="47"/>
        <v>1972.6363596000001</v>
      </c>
      <c r="E440" s="1">
        <v>106.17319999999999</v>
      </c>
      <c r="F440" s="1">
        <v>21.386099999999999</v>
      </c>
      <c r="G440" s="1">
        <v>5.9051</v>
      </c>
      <c r="H440" s="1">
        <v>10.833399999999999</v>
      </c>
      <c r="I440" s="1">
        <v>62.0732</v>
      </c>
      <c r="J440" s="1">
        <f t="shared" si="42"/>
        <v>58.038618399999997</v>
      </c>
      <c r="K440" s="1">
        <v>4.8999200000000087</v>
      </c>
      <c r="L440" s="1">
        <f t="shared" si="43"/>
        <v>73.567234606741579</v>
      </c>
      <c r="M440" s="1">
        <v>-234.4255</v>
      </c>
      <c r="N440" s="1">
        <v>-29.600940000000001</v>
      </c>
    </row>
    <row r="441" spans="1:14" x14ac:dyDescent="0.4">
      <c r="B441" s="1">
        <v>22.25</v>
      </c>
      <c r="C441" s="1" t="s">
        <v>452</v>
      </c>
      <c r="D441" s="3">
        <f t="shared" si="47"/>
        <v>1972.5454505</v>
      </c>
      <c r="E441" s="1">
        <v>171.66730000000001</v>
      </c>
      <c r="F441" s="1">
        <v>11.311199999999999</v>
      </c>
      <c r="G441" s="1">
        <v>14.747999999999999</v>
      </c>
      <c r="H441" s="1">
        <v>30.103200000000001</v>
      </c>
      <c r="I441" s="1">
        <v>245.54499999999999</v>
      </c>
      <c r="J441" s="1">
        <f t="shared" si="42"/>
        <v>239.02164259999998</v>
      </c>
      <c r="L441" s="1">
        <f t="shared" si="43"/>
        <v>37.385478314606758</v>
      </c>
      <c r="M441" s="1">
        <v>-249.16746000000001</v>
      </c>
      <c r="N441" s="1">
        <v>-31.455739999999999</v>
      </c>
    </row>
    <row r="442" spans="1:14" x14ac:dyDescent="0.4">
      <c r="B442" s="1">
        <v>22.3</v>
      </c>
      <c r="C442" s="1" t="s">
        <v>453</v>
      </c>
      <c r="D442" s="3">
        <f t="shared" si="47"/>
        <v>1972.4545413999999</v>
      </c>
      <c r="E442" s="1">
        <v>58.133499999999998</v>
      </c>
      <c r="F442" s="1">
        <v>11.352</v>
      </c>
      <c r="G442" s="1">
        <v>4.0975000000000001</v>
      </c>
      <c r="H442" s="1">
        <v>8.5494000000000003</v>
      </c>
      <c r="I442" s="1">
        <v>53.246600000000001</v>
      </c>
      <c r="J442" s="1">
        <f t="shared" si="42"/>
        <v>51.037526999999997</v>
      </c>
      <c r="K442" s="1">
        <v>0.77031000000002336</v>
      </c>
      <c r="L442" s="1">
        <f t="shared" si="43"/>
        <v>29.460732022471909</v>
      </c>
      <c r="M442" s="1">
        <v>-252.53916000000001</v>
      </c>
      <c r="N442" s="1">
        <v>-31.83475</v>
      </c>
    </row>
    <row r="443" spans="1:14" x14ac:dyDescent="0.4">
      <c r="B443" s="1">
        <v>22.35</v>
      </c>
      <c r="C443" s="1" t="s">
        <v>454</v>
      </c>
      <c r="D443" s="3">
        <f t="shared" si="47"/>
        <v>1972.3636323000001</v>
      </c>
      <c r="E443" s="1">
        <v>176.011</v>
      </c>
      <c r="F443" s="1">
        <v>108.9581</v>
      </c>
      <c r="G443" s="1">
        <v>20.573499999999999</v>
      </c>
      <c r="H443" s="1">
        <v>23.014099999999999</v>
      </c>
      <c r="I443" s="1">
        <v>299.9665</v>
      </c>
      <c r="J443" s="1">
        <f t="shared" si="42"/>
        <v>293.27808199999998</v>
      </c>
      <c r="K443" s="1">
        <v>2.3820200000000114</v>
      </c>
      <c r="L443" s="1">
        <f t="shared" si="43"/>
        <v>11.24803258426968</v>
      </c>
      <c r="M443" s="1">
        <v>-259.77883000000003</v>
      </c>
      <c r="N443" s="1">
        <v>-32.78154</v>
      </c>
    </row>
    <row r="444" spans="1:14" x14ac:dyDescent="0.4">
      <c r="B444" s="1">
        <v>22.4</v>
      </c>
      <c r="C444" s="1" t="s">
        <v>455</v>
      </c>
      <c r="D444" s="3">
        <f t="shared" si="47"/>
        <v>1972.2727232</v>
      </c>
      <c r="E444" s="1">
        <v>20.4207</v>
      </c>
      <c r="F444" s="1">
        <v>2.3763999999999998</v>
      </c>
      <c r="G444" s="1">
        <v>3.0828000000000002</v>
      </c>
      <c r="H444" s="1">
        <v>3.9441000000000002</v>
      </c>
      <c r="I444" s="1">
        <v>35.325200000000002</v>
      </c>
      <c r="J444" s="1">
        <f t="shared" si="42"/>
        <v>34.549213399999999</v>
      </c>
      <c r="K444" s="1">
        <v>2.4784599999999841</v>
      </c>
      <c r="L444" s="1">
        <f t="shared" si="43"/>
        <v>1.0110295505617977</v>
      </c>
      <c r="M444" s="1">
        <v>-256.49502000000001</v>
      </c>
      <c r="N444" s="1">
        <v>-32.375399999999999</v>
      </c>
    </row>
    <row r="445" spans="1:14" x14ac:dyDescent="0.4">
      <c r="B445" s="1">
        <v>22.45</v>
      </c>
      <c r="C445" s="1" t="s">
        <v>456</v>
      </c>
      <c r="D445" s="3">
        <f t="shared" si="47"/>
        <v>1972.1818141000001</v>
      </c>
      <c r="E445" s="1">
        <v>107.9205</v>
      </c>
      <c r="F445" s="1">
        <v>104.80070000000001</v>
      </c>
      <c r="G445" s="1">
        <v>27.540099999999999</v>
      </c>
      <c r="H445" s="1">
        <v>16.465399999999999</v>
      </c>
      <c r="I445" s="1">
        <v>296.60579999999999</v>
      </c>
      <c r="J445" s="1">
        <f t="shared" si="42"/>
        <v>292.50482099999999</v>
      </c>
      <c r="K445" s="1">
        <v>2.1388399999999876</v>
      </c>
      <c r="L445" s="1">
        <f t="shared" si="43"/>
        <v>-56.408051123595499</v>
      </c>
      <c r="M445" s="1">
        <v>-238.16869</v>
      </c>
      <c r="N445" s="1">
        <v>-30.063269999999999</v>
      </c>
    </row>
    <row r="446" spans="1:14" x14ac:dyDescent="0.4">
      <c r="B446" s="1">
        <v>22.5</v>
      </c>
      <c r="C446" s="1" t="s">
        <v>457</v>
      </c>
      <c r="D446" s="3">
        <f t="shared" si="47"/>
        <v>1972.090905</v>
      </c>
      <c r="E446" s="1">
        <v>35.034199999999998</v>
      </c>
      <c r="F446" s="1">
        <v>12.0853</v>
      </c>
      <c r="G446" s="1">
        <v>6.0297000000000001</v>
      </c>
      <c r="H446" s="1">
        <v>7.8628</v>
      </c>
      <c r="I446" s="1">
        <v>45.213900000000002</v>
      </c>
      <c r="J446" s="1">
        <f t="shared" si="42"/>
        <v>43.882600400000001</v>
      </c>
      <c r="K446" s="1">
        <v>2.4734899999999698</v>
      </c>
      <c r="L446" s="1">
        <f t="shared" si="43"/>
        <v>10.381053707865167</v>
      </c>
      <c r="M446" s="1">
        <v>-223.19179</v>
      </c>
      <c r="N446" s="1">
        <v>-28.413609999999998</v>
      </c>
    </row>
    <row r="447" spans="1:14" x14ac:dyDescent="0.4">
      <c r="A447" s="1">
        <v>1972</v>
      </c>
      <c r="B447" s="1">
        <v>22.55</v>
      </c>
      <c r="C447" s="1" t="s">
        <v>458</v>
      </c>
      <c r="D447" s="3">
        <f>-1.25*B447+2000.1875</f>
        <v>1972</v>
      </c>
      <c r="E447" s="1">
        <v>24.218</v>
      </c>
      <c r="F447" s="1">
        <v>120.1887</v>
      </c>
      <c r="G447" s="1">
        <v>14.415900000000001</v>
      </c>
      <c r="H447" s="1">
        <v>7.5890000000000004</v>
      </c>
      <c r="I447" s="1">
        <v>342.2876</v>
      </c>
      <c r="J447" s="1">
        <f t="shared" si="42"/>
        <v>341.36731600000002</v>
      </c>
      <c r="K447" s="1">
        <v>2.5081799999999816</v>
      </c>
      <c r="L447" s="1">
        <f t="shared" si="43"/>
        <v>-167.56139101123597</v>
      </c>
      <c r="M447" s="1">
        <v>-209.78023999999999</v>
      </c>
      <c r="N447" s="1">
        <v>-26.911079999999998</v>
      </c>
    </row>
    <row r="448" spans="1:14" x14ac:dyDescent="0.4">
      <c r="B448" s="1">
        <v>22.6</v>
      </c>
      <c r="C448" s="1" t="s">
        <v>459</v>
      </c>
      <c r="D448" s="3">
        <f t="shared" ref="D448:D462" si="48">-1.25*B448+2000.1875</f>
        <v>1971.9375</v>
      </c>
      <c r="E448" s="1">
        <v>16.895600000000002</v>
      </c>
      <c r="F448" s="1">
        <v>16.438199999999998</v>
      </c>
      <c r="G448" s="1">
        <v>6.2538999999999998</v>
      </c>
      <c r="H448" s="1">
        <v>3.6394000000000002</v>
      </c>
      <c r="I448" s="1">
        <v>41.865200000000002</v>
      </c>
      <c r="J448" s="1">
        <f t="shared" si="42"/>
        <v>41.223167199999999</v>
      </c>
      <c r="K448" s="1">
        <v>2.3374699999999962</v>
      </c>
      <c r="L448" s="1">
        <f t="shared" si="43"/>
        <v>-6.263482696629211</v>
      </c>
      <c r="M448" s="1">
        <v>-205.40628000000001</v>
      </c>
      <c r="N448" s="1">
        <v>-26.39995</v>
      </c>
    </row>
    <row r="449" spans="1:14" x14ac:dyDescent="0.4">
      <c r="B449" s="1">
        <v>22.65</v>
      </c>
      <c r="C449" s="1" t="s">
        <v>460</v>
      </c>
      <c r="D449" s="3">
        <f t="shared" si="48"/>
        <v>1971.875</v>
      </c>
      <c r="E449" s="1">
        <v>25.191700000000001</v>
      </c>
      <c r="F449" s="1">
        <v>111.545</v>
      </c>
      <c r="G449" s="1">
        <v>12.07</v>
      </c>
      <c r="H449" s="1">
        <v>8.7157999999999998</v>
      </c>
      <c r="I449" s="1">
        <v>293.40359999999998</v>
      </c>
      <c r="J449" s="1">
        <f t="shared" si="42"/>
        <v>292.4463154</v>
      </c>
      <c r="K449" s="1">
        <v>4.1170899999999904</v>
      </c>
      <c r="L449" s="1">
        <f t="shared" si="43"/>
        <v>-139.10398280898877</v>
      </c>
      <c r="M449" s="1">
        <v>-206.80662000000001</v>
      </c>
      <c r="N449" s="1">
        <v>-26.477920000000001</v>
      </c>
    </row>
    <row r="450" spans="1:14" x14ac:dyDescent="0.4">
      <c r="B450" s="1">
        <v>22.7</v>
      </c>
      <c r="C450" s="1" t="s">
        <v>461</v>
      </c>
      <c r="D450" s="3">
        <f t="shared" si="48"/>
        <v>1971.8125</v>
      </c>
      <c r="E450" s="1">
        <v>86.946299999999994</v>
      </c>
      <c r="F450" s="1">
        <v>19.912400000000002</v>
      </c>
      <c r="G450" s="1">
        <v>25.859500000000001</v>
      </c>
      <c r="H450" s="1">
        <v>11.1031</v>
      </c>
      <c r="I450" s="1">
        <v>148.62540000000001</v>
      </c>
      <c r="J450" s="1">
        <f t="shared" si="42"/>
        <v>145.32144060000002</v>
      </c>
      <c r="K450" s="1">
        <v>5.5083999999999946</v>
      </c>
      <c r="L450" s="1">
        <f t="shared" si="43"/>
        <v>5.305041235955045</v>
      </c>
      <c r="M450" s="1">
        <v>-212.80100999999999</v>
      </c>
      <c r="N450" s="1">
        <v>-27.20965</v>
      </c>
    </row>
    <row r="451" spans="1:14" x14ac:dyDescent="0.4">
      <c r="B451" s="1">
        <v>22.75</v>
      </c>
      <c r="C451" s="1" t="s">
        <v>462</v>
      </c>
      <c r="D451" s="3">
        <f t="shared" si="48"/>
        <v>1971.75</v>
      </c>
      <c r="E451" s="1">
        <v>68.735399999999998</v>
      </c>
      <c r="F451" s="1">
        <v>113.6799</v>
      </c>
      <c r="G451" s="1">
        <v>9.9529999999999994</v>
      </c>
      <c r="H451" s="1">
        <v>16.6203</v>
      </c>
      <c r="I451" s="1">
        <v>283.34160000000003</v>
      </c>
      <c r="J451" s="1">
        <f t="shared" ref="J451:J514" si="49">I451-0.038*E451</f>
        <v>280.72965480000005</v>
      </c>
      <c r="K451" s="1">
        <v>5.7933199999999943</v>
      </c>
      <c r="L451" s="1">
        <f t="shared" ref="L451:L514" si="50">E451-(J451/1.78)</f>
        <v>-88.977889213483166</v>
      </c>
      <c r="M451" s="1">
        <v>-221.80851000000001</v>
      </c>
      <c r="N451" s="1">
        <v>-28.198460000000001</v>
      </c>
    </row>
    <row r="452" spans="1:14" x14ac:dyDescent="0.4">
      <c r="B452" s="1">
        <v>22.8</v>
      </c>
      <c r="C452" s="1" t="s">
        <v>463</v>
      </c>
      <c r="D452" s="3">
        <f t="shared" si="48"/>
        <v>1971.6875</v>
      </c>
      <c r="E452" s="1">
        <v>156.12139999999999</v>
      </c>
      <c r="F452" s="1">
        <v>11.522600000000001</v>
      </c>
      <c r="G452" s="1">
        <v>7.9748999999999999</v>
      </c>
      <c r="H452" s="1">
        <v>17.389299999999999</v>
      </c>
      <c r="I452" s="1">
        <v>77.506600000000006</v>
      </c>
      <c r="J452" s="1">
        <f t="shared" si="49"/>
        <v>71.5739868</v>
      </c>
      <c r="K452" s="1">
        <v>5.0167399999999986</v>
      </c>
      <c r="L452" s="1">
        <f t="shared" si="50"/>
        <v>115.91129505617977</v>
      </c>
      <c r="M452" s="1">
        <v>-230.27405999999999</v>
      </c>
      <c r="N452" s="1">
        <v>-29.186789999999998</v>
      </c>
    </row>
    <row r="453" spans="1:14" x14ac:dyDescent="0.4">
      <c r="B453" s="1">
        <v>22.85</v>
      </c>
      <c r="C453" s="1" t="s">
        <v>464</v>
      </c>
      <c r="D453" s="3">
        <f t="shared" si="48"/>
        <v>1971.625</v>
      </c>
      <c r="E453" s="1">
        <v>278.2484</v>
      </c>
      <c r="F453" s="1">
        <v>108.4055</v>
      </c>
      <c r="G453" s="1">
        <v>33.950000000000003</v>
      </c>
      <c r="H453" s="1">
        <v>41.884300000000003</v>
      </c>
      <c r="I453" s="1">
        <v>237.3192</v>
      </c>
      <c r="J453" s="1">
        <f t="shared" si="49"/>
        <v>226.7457608</v>
      </c>
      <c r="K453" s="1">
        <v>4.8761900000000082</v>
      </c>
      <c r="L453" s="1">
        <f t="shared" si="50"/>
        <v>150.86314112359551</v>
      </c>
      <c r="M453" s="1">
        <v>-238.67469</v>
      </c>
      <c r="N453" s="1">
        <v>-30.263110000000001</v>
      </c>
    </row>
    <row r="454" spans="1:14" x14ac:dyDescent="0.4">
      <c r="B454" s="1">
        <v>22.9</v>
      </c>
      <c r="C454" s="1" t="s">
        <v>465</v>
      </c>
      <c r="D454" s="3">
        <f t="shared" si="48"/>
        <v>1971.5625</v>
      </c>
      <c r="E454" s="1">
        <v>65.8703</v>
      </c>
      <c r="F454" s="1">
        <v>12.494999999999999</v>
      </c>
      <c r="G454" s="1">
        <v>4.7592999999999996</v>
      </c>
      <c r="H454" s="1">
        <v>8.6357999999999997</v>
      </c>
      <c r="I454" s="1">
        <v>27.8751</v>
      </c>
      <c r="J454" s="1">
        <f t="shared" si="49"/>
        <v>25.3720286</v>
      </c>
      <c r="K454" s="1">
        <v>3.7791699999999935</v>
      </c>
      <c r="L454" s="1">
        <f t="shared" si="50"/>
        <v>51.616351348314609</v>
      </c>
      <c r="M454" s="1">
        <v>-242.70192</v>
      </c>
      <c r="N454" s="1">
        <v>-31.022670000000002</v>
      </c>
    </row>
    <row r="455" spans="1:14" x14ac:dyDescent="0.4">
      <c r="B455" s="1">
        <v>22.95</v>
      </c>
      <c r="C455" s="1" t="s">
        <v>466</v>
      </c>
      <c r="D455" s="3">
        <f t="shared" si="48"/>
        <v>1971.5</v>
      </c>
      <c r="E455" s="1">
        <v>166.18680000000001</v>
      </c>
      <c r="F455" s="1">
        <v>33.784300000000002</v>
      </c>
      <c r="G455" s="1">
        <v>14.595700000000001</v>
      </c>
      <c r="H455" s="1">
        <v>36.329700000000003</v>
      </c>
      <c r="I455" s="1">
        <v>279.887</v>
      </c>
      <c r="J455" s="1">
        <f t="shared" si="49"/>
        <v>273.57190159999999</v>
      </c>
      <c r="K455" s="1">
        <v>3.2202599999999961</v>
      </c>
      <c r="L455" s="1">
        <f t="shared" si="50"/>
        <v>12.494720449438205</v>
      </c>
      <c r="M455" s="1">
        <v>-248.79802000000001</v>
      </c>
      <c r="N455" s="1">
        <v>-31.732189999999999</v>
      </c>
    </row>
    <row r="456" spans="1:14" x14ac:dyDescent="0.4">
      <c r="B456" s="1">
        <v>23</v>
      </c>
      <c r="C456" s="1" t="s">
        <v>467</v>
      </c>
      <c r="D456" s="3">
        <f t="shared" si="48"/>
        <v>1971.4375</v>
      </c>
      <c r="E456" s="1">
        <v>66.522300000000001</v>
      </c>
      <c r="F456" s="1">
        <v>13.186999999999999</v>
      </c>
      <c r="G456" s="1">
        <v>3.4304999999999999</v>
      </c>
      <c r="H456" s="1">
        <v>7.4702999999999999</v>
      </c>
      <c r="I456" s="1">
        <v>30.1172</v>
      </c>
      <c r="J456" s="1">
        <f t="shared" si="49"/>
        <v>27.589352600000002</v>
      </c>
      <c r="K456" s="1">
        <v>3.4301900000000103</v>
      </c>
      <c r="L456" s="1">
        <f t="shared" si="50"/>
        <v>51.022663707865171</v>
      </c>
      <c r="M456" s="1">
        <v>-256.41023000000001</v>
      </c>
      <c r="N456" s="1">
        <v>-32.705849999999998</v>
      </c>
    </row>
    <row r="457" spans="1:14" x14ac:dyDescent="0.4">
      <c r="B457" s="1">
        <v>23.05</v>
      </c>
      <c r="C457" s="1" t="s">
        <v>468</v>
      </c>
      <c r="D457" s="3">
        <f t="shared" si="48"/>
        <v>1971.375</v>
      </c>
      <c r="E457" s="1">
        <v>59.159700000000001</v>
      </c>
      <c r="F457" s="1">
        <v>72.557100000000005</v>
      </c>
      <c r="G457" s="1">
        <v>14.5642</v>
      </c>
      <c r="H457" s="1">
        <v>9.7141999999999999</v>
      </c>
      <c r="I457" s="1">
        <v>253.06700000000001</v>
      </c>
      <c r="J457" s="1">
        <f t="shared" si="49"/>
        <v>250.8189314</v>
      </c>
      <c r="K457" s="1">
        <v>5.479440000000011</v>
      </c>
      <c r="L457" s="1">
        <f t="shared" si="50"/>
        <v>-81.749812022471914</v>
      </c>
      <c r="M457" s="1">
        <v>-262.71391</v>
      </c>
      <c r="N457" s="1">
        <v>-33.235460000000003</v>
      </c>
    </row>
    <row r="458" spans="1:14" x14ac:dyDescent="0.4">
      <c r="B458" s="1">
        <v>23.1</v>
      </c>
      <c r="C458" s="1" t="s">
        <v>469</v>
      </c>
      <c r="D458" s="3">
        <f t="shared" si="48"/>
        <v>1971.3125</v>
      </c>
      <c r="E458" s="1">
        <v>74.134200000000007</v>
      </c>
      <c r="F458" s="1">
        <v>11.9414</v>
      </c>
      <c r="G458" s="1">
        <v>3.8801000000000001</v>
      </c>
      <c r="H458" s="1">
        <v>10.489100000000001</v>
      </c>
      <c r="I458" s="1">
        <v>35.464199999999998</v>
      </c>
      <c r="J458" s="1">
        <f t="shared" si="49"/>
        <v>32.647100399999999</v>
      </c>
      <c r="K458" s="1">
        <v>5.0594999999999857</v>
      </c>
      <c r="L458" s="1">
        <f t="shared" si="50"/>
        <v>55.793132359550569</v>
      </c>
      <c r="M458" s="1">
        <v>-266.45398</v>
      </c>
      <c r="N458" s="1">
        <v>-33.555590000000002</v>
      </c>
    </row>
    <row r="459" spans="1:14" x14ac:dyDescent="0.4">
      <c r="B459" s="1">
        <v>23.15</v>
      </c>
      <c r="C459" s="1" t="s">
        <v>470</v>
      </c>
      <c r="D459" s="3">
        <f t="shared" si="48"/>
        <v>1971.25</v>
      </c>
      <c r="E459" s="1">
        <v>185.7841</v>
      </c>
      <c r="F459" s="1">
        <v>106.35339999999999</v>
      </c>
      <c r="G459" s="1">
        <v>12.2723</v>
      </c>
      <c r="H459" s="1">
        <v>31.611899999999999</v>
      </c>
      <c r="I459" s="1">
        <v>258.02420000000001</v>
      </c>
      <c r="J459" s="1">
        <f t="shared" si="49"/>
        <v>250.96440420000002</v>
      </c>
      <c r="K459" s="1">
        <v>5.236569999999972</v>
      </c>
      <c r="L459" s="1">
        <f t="shared" si="50"/>
        <v>44.792861685393234</v>
      </c>
      <c r="M459" s="1">
        <v>-265.69661000000002</v>
      </c>
      <c r="N459" s="1">
        <v>-33.419130000000003</v>
      </c>
    </row>
    <row r="460" spans="1:14" x14ac:dyDescent="0.4">
      <c r="B460" s="1">
        <v>23.2</v>
      </c>
      <c r="C460" s="1" t="s">
        <v>471</v>
      </c>
      <c r="D460" s="3">
        <f t="shared" si="48"/>
        <v>1971.1875</v>
      </c>
      <c r="E460" s="1">
        <v>99.074200000000005</v>
      </c>
      <c r="F460" s="1">
        <v>25.198699999999999</v>
      </c>
      <c r="G460" s="1">
        <v>5.7152000000000003</v>
      </c>
      <c r="H460" s="1">
        <v>12.474299999999999</v>
      </c>
      <c r="I460" s="1">
        <v>26.3782</v>
      </c>
      <c r="J460" s="1">
        <f t="shared" si="49"/>
        <v>22.6133804</v>
      </c>
      <c r="K460" s="1">
        <v>3.1697700000000282</v>
      </c>
      <c r="L460" s="1">
        <f t="shared" si="50"/>
        <v>86.370053707865168</v>
      </c>
      <c r="M460" s="1">
        <v>-263.41010999999997</v>
      </c>
      <c r="N460" s="1">
        <v>-33.14978</v>
      </c>
    </row>
    <row r="461" spans="1:14" x14ac:dyDescent="0.4">
      <c r="B461" s="1">
        <v>23.25</v>
      </c>
      <c r="C461" s="1" t="s">
        <v>472</v>
      </c>
      <c r="D461" s="3">
        <f t="shared" si="48"/>
        <v>1971.125</v>
      </c>
      <c r="E461" s="1">
        <v>104.7812</v>
      </c>
      <c r="F461" s="1">
        <v>13.414899999999999</v>
      </c>
      <c r="G461" s="1">
        <v>10.532299999999999</v>
      </c>
      <c r="H461" s="1">
        <v>20.668299999999999</v>
      </c>
      <c r="I461" s="1">
        <v>169.13480000000001</v>
      </c>
      <c r="J461" s="1">
        <f t="shared" si="49"/>
        <v>165.15311440000002</v>
      </c>
      <c r="K461" s="1">
        <v>1.9907400000000166</v>
      </c>
      <c r="L461" s="1">
        <f t="shared" si="50"/>
        <v>11.99855146067415</v>
      </c>
      <c r="M461" s="1">
        <v>-253.92778999999999</v>
      </c>
      <c r="N461" s="1">
        <v>-32.116439999999997</v>
      </c>
    </row>
    <row r="462" spans="1:14" x14ac:dyDescent="0.4">
      <c r="B462" s="1">
        <v>23.3</v>
      </c>
      <c r="C462" s="1" t="s">
        <v>473</v>
      </c>
      <c r="D462" s="3">
        <f t="shared" si="48"/>
        <v>1971.0625</v>
      </c>
      <c r="E462" s="1">
        <v>103.7075</v>
      </c>
      <c r="F462" s="1">
        <v>20.785499999999999</v>
      </c>
      <c r="G462" s="1">
        <v>60.164099999999998</v>
      </c>
      <c r="H462" s="1">
        <v>8.1973000000000003</v>
      </c>
      <c r="I462" s="1">
        <v>51.981900000000003</v>
      </c>
      <c r="J462" s="1">
        <f t="shared" si="49"/>
        <v>48.041015000000002</v>
      </c>
      <c r="K462" s="1">
        <v>1.6564300000000003</v>
      </c>
      <c r="L462" s="1">
        <f t="shared" si="50"/>
        <v>76.718165730337077</v>
      </c>
      <c r="M462" s="1">
        <v>-239.68512999999999</v>
      </c>
      <c r="N462" s="1">
        <v>-30.357199999999999</v>
      </c>
    </row>
    <row r="463" spans="1:14" x14ac:dyDescent="0.4">
      <c r="A463" s="1">
        <v>1971</v>
      </c>
      <c r="B463" s="1">
        <v>23.35</v>
      </c>
      <c r="C463" s="1" t="s">
        <v>474</v>
      </c>
      <c r="D463" s="3">
        <f>-2.5*B463+2029.375</f>
        <v>1971</v>
      </c>
      <c r="E463" s="1">
        <v>49.846499999999999</v>
      </c>
      <c r="F463" s="1">
        <v>124.10550000000001</v>
      </c>
      <c r="G463" s="1">
        <v>49.141199999999998</v>
      </c>
      <c r="H463" s="1">
        <v>5.9118000000000004</v>
      </c>
      <c r="I463" s="1">
        <v>166.44370000000001</v>
      </c>
      <c r="J463" s="1">
        <f t="shared" si="49"/>
        <v>164.549533</v>
      </c>
      <c r="K463" s="1">
        <v>1.7881300000000238</v>
      </c>
      <c r="L463" s="1">
        <f t="shared" si="50"/>
        <v>-42.59705786516853</v>
      </c>
      <c r="M463" s="1">
        <v>-231.49982</v>
      </c>
      <c r="N463" s="1">
        <v>-29.29438</v>
      </c>
    </row>
    <row r="464" spans="1:14" x14ac:dyDescent="0.4">
      <c r="B464" s="1">
        <v>23.4</v>
      </c>
      <c r="C464" s="1" t="s">
        <v>475</v>
      </c>
      <c r="D464" s="3">
        <f t="shared" ref="D464:D470" si="51">-2.5*B464+2029.375</f>
        <v>1970.875</v>
      </c>
      <c r="E464" s="1">
        <v>17.410900000000002</v>
      </c>
      <c r="F464" s="1">
        <v>4.7305000000000001</v>
      </c>
      <c r="G464" s="1">
        <v>5.5366</v>
      </c>
      <c r="H464" s="1">
        <v>2.2282000000000002</v>
      </c>
      <c r="I464" s="1">
        <v>54.688699999999997</v>
      </c>
      <c r="J464" s="1">
        <f t="shared" si="49"/>
        <v>54.027085799999995</v>
      </c>
      <c r="K464" s="1">
        <v>3.0037299999999902</v>
      </c>
      <c r="L464" s="1">
        <f t="shared" si="50"/>
        <v>-12.941395393258421</v>
      </c>
      <c r="M464" s="1">
        <v>-225.31328999999999</v>
      </c>
      <c r="N464" s="1">
        <v>-28.98244</v>
      </c>
    </row>
    <row r="465" spans="1:14" x14ac:dyDescent="0.4">
      <c r="B465" s="1">
        <v>23.45</v>
      </c>
      <c r="C465" s="1" t="s">
        <v>476</v>
      </c>
      <c r="D465" s="3">
        <f t="shared" si="51"/>
        <v>1970.75</v>
      </c>
      <c r="E465" s="1">
        <v>17.988800000000001</v>
      </c>
      <c r="F465" s="1">
        <v>20.6967</v>
      </c>
      <c r="G465" s="1">
        <v>14.0221</v>
      </c>
      <c r="H465" s="1">
        <v>4.3563000000000001</v>
      </c>
      <c r="I465" s="1">
        <v>145.6867</v>
      </c>
      <c r="J465" s="1">
        <f t="shared" si="49"/>
        <v>145.0031256</v>
      </c>
      <c r="K465" s="1">
        <v>3.1724700000000041</v>
      </c>
      <c r="L465" s="1">
        <f t="shared" si="50"/>
        <v>-63.473630112359558</v>
      </c>
      <c r="M465" s="1">
        <v>-228.54621</v>
      </c>
      <c r="N465" s="1">
        <v>-29.217179999999999</v>
      </c>
    </row>
    <row r="466" spans="1:14" x14ac:dyDescent="0.4">
      <c r="B466" s="1">
        <v>23.5</v>
      </c>
      <c r="C466" s="1" t="s">
        <v>477</v>
      </c>
      <c r="D466" s="3">
        <f t="shared" si="51"/>
        <v>1970.625</v>
      </c>
      <c r="E466" s="1">
        <v>103.03919999999999</v>
      </c>
      <c r="F466" s="1">
        <v>16.685099999999998</v>
      </c>
      <c r="G466" s="1">
        <v>10.587999999999999</v>
      </c>
      <c r="H466" s="1">
        <v>9.4750999999999994</v>
      </c>
      <c r="I466" s="1">
        <v>42.743400000000001</v>
      </c>
      <c r="J466" s="1">
        <f t="shared" si="49"/>
        <v>38.8279104</v>
      </c>
      <c r="K466" s="1">
        <v>2.8552200000000028</v>
      </c>
      <c r="L466" s="1">
        <f t="shared" si="50"/>
        <v>81.225767191011229</v>
      </c>
      <c r="M466" s="1">
        <v>-234.85099</v>
      </c>
      <c r="N466" s="1">
        <v>-29.921980000000001</v>
      </c>
    </row>
    <row r="467" spans="1:14" x14ac:dyDescent="0.4">
      <c r="B467" s="1">
        <v>23.55</v>
      </c>
      <c r="C467" s="1" t="s">
        <v>478</v>
      </c>
      <c r="D467" s="3">
        <f t="shared" si="51"/>
        <v>1970.5</v>
      </c>
      <c r="E467" s="1">
        <v>137.18209999999999</v>
      </c>
      <c r="F467" s="1">
        <v>58.417999999999999</v>
      </c>
      <c r="G467" s="1">
        <v>20.701499999999999</v>
      </c>
      <c r="H467" s="1">
        <v>16.918600000000001</v>
      </c>
      <c r="I467" s="1">
        <v>179.273</v>
      </c>
      <c r="J467" s="1">
        <f t="shared" si="49"/>
        <v>174.06008019999999</v>
      </c>
      <c r="K467" s="1">
        <v>6.5462300000000084</v>
      </c>
      <c r="L467" s="1">
        <f t="shared" si="50"/>
        <v>39.395538089887637</v>
      </c>
      <c r="M467" s="1">
        <v>-244.36102</v>
      </c>
      <c r="N467" s="1">
        <v>-30.897950000000002</v>
      </c>
    </row>
    <row r="468" spans="1:14" x14ac:dyDescent="0.4">
      <c r="B468" s="1">
        <v>23.6</v>
      </c>
      <c r="C468" s="1" t="s">
        <v>479</v>
      </c>
      <c r="D468" s="3">
        <f t="shared" si="51"/>
        <v>1970.375</v>
      </c>
      <c r="E468" s="1">
        <v>49.911499999999997</v>
      </c>
      <c r="F468" s="1">
        <v>14.1188</v>
      </c>
      <c r="G468" s="1">
        <v>5.9767999999999999</v>
      </c>
      <c r="H468" s="1">
        <v>6.1085000000000003</v>
      </c>
      <c r="I468" s="1">
        <v>36.160299999999999</v>
      </c>
      <c r="J468" s="1">
        <f t="shared" si="49"/>
        <v>34.263663000000001</v>
      </c>
      <c r="K468" s="1">
        <v>5.1912299999999902</v>
      </c>
      <c r="L468" s="1">
        <f t="shared" si="50"/>
        <v>30.662251123595503</v>
      </c>
      <c r="M468" s="1">
        <v>-247.62799000000001</v>
      </c>
      <c r="N468" s="1">
        <v>-31.207429999999999</v>
      </c>
    </row>
    <row r="469" spans="1:14" x14ac:dyDescent="0.4">
      <c r="B469" s="1">
        <v>23.65</v>
      </c>
      <c r="C469" s="1" t="s">
        <v>480</v>
      </c>
      <c r="D469" s="3">
        <f t="shared" si="51"/>
        <v>1970.25</v>
      </c>
      <c r="E469" s="1">
        <v>115.4427</v>
      </c>
      <c r="F469" s="1">
        <v>57.9968</v>
      </c>
      <c r="G469" s="1">
        <v>12.346500000000001</v>
      </c>
      <c r="H469" s="1">
        <v>17.175799999999999</v>
      </c>
      <c r="I469" s="1">
        <v>294.92720000000003</v>
      </c>
      <c r="J469" s="1">
        <f t="shared" si="49"/>
        <v>290.54037740000001</v>
      </c>
      <c r="K469" s="1">
        <v>4.5248500000000149</v>
      </c>
      <c r="L469" s="1">
        <f t="shared" si="50"/>
        <v>-47.782231123595494</v>
      </c>
      <c r="M469" s="1">
        <v>-244.19448</v>
      </c>
      <c r="N469" s="1">
        <v>-30.711649999999999</v>
      </c>
    </row>
    <row r="470" spans="1:14" x14ac:dyDescent="0.4">
      <c r="B470" s="1">
        <v>23.7</v>
      </c>
      <c r="C470" s="1" t="s">
        <v>481</v>
      </c>
      <c r="D470" s="3">
        <f t="shared" si="51"/>
        <v>1970.125</v>
      </c>
      <c r="E470" s="1">
        <v>45.3996</v>
      </c>
      <c r="F470" s="1">
        <v>10.8398</v>
      </c>
      <c r="G470" s="1">
        <v>2.6802999999999999</v>
      </c>
      <c r="H470" s="1">
        <v>4.1266999999999996</v>
      </c>
      <c r="I470" s="1">
        <v>44.747700000000002</v>
      </c>
      <c r="J470" s="1">
        <f t="shared" si="49"/>
        <v>43.022515200000001</v>
      </c>
      <c r="K470" s="1">
        <v>2.8225800000000163</v>
      </c>
      <c r="L470" s="1">
        <f t="shared" si="50"/>
        <v>21.229647640449439</v>
      </c>
      <c r="M470" s="1">
        <v>-235.39088000000001</v>
      </c>
      <c r="N470" s="1">
        <v>-29.935949999999998</v>
      </c>
    </row>
    <row r="471" spans="1:14" x14ac:dyDescent="0.4">
      <c r="A471" s="1">
        <v>1970</v>
      </c>
      <c r="B471" s="1">
        <v>23.75</v>
      </c>
      <c r="C471" s="1" t="s">
        <v>482</v>
      </c>
      <c r="D471" s="3">
        <f>-1.818182*B471+2013.181818</f>
        <v>1969.9999955000001</v>
      </c>
      <c r="E471" s="1">
        <v>81.407799999999995</v>
      </c>
      <c r="F471" s="1">
        <v>97.541799999999995</v>
      </c>
      <c r="G471" s="1">
        <v>29.572500000000002</v>
      </c>
      <c r="H471" s="1">
        <v>11.3986</v>
      </c>
      <c r="I471" s="1">
        <v>272.49829999999997</v>
      </c>
      <c r="J471" s="1">
        <f t="shared" si="49"/>
        <v>269.40480359999998</v>
      </c>
      <c r="K471" s="1">
        <v>2.0314499999999782</v>
      </c>
      <c r="L471" s="1">
        <f t="shared" si="50"/>
        <v>-69.943213258426951</v>
      </c>
      <c r="M471" s="1">
        <v>-229.28027</v>
      </c>
      <c r="N471" s="1">
        <v>-28.949449999999999</v>
      </c>
    </row>
    <row r="472" spans="1:14" x14ac:dyDescent="0.4">
      <c r="B472" s="1">
        <v>23.8</v>
      </c>
      <c r="C472" s="1" t="s">
        <v>483</v>
      </c>
      <c r="D472" s="3">
        <f t="shared" ref="D472:D481" si="52">-1.818182*B472+2013.181818</f>
        <v>1969.9090864</v>
      </c>
      <c r="E472" s="1">
        <v>7.2873000000000001</v>
      </c>
      <c r="F472" s="1">
        <v>7.1017000000000001</v>
      </c>
      <c r="G472" s="1">
        <v>1.4781</v>
      </c>
      <c r="H472" s="1">
        <v>1.9479</v>
      </c>
      <c r="I472" s="1">
        <v>35.968600000000002</v>
      </c>
      <c r="J472" s="1">
        <f t="shared" si="49"/>
        <v>35.6916826</v>
      </c>
      <c r="K472" s="1">
        <v>1.4987199999999916</v>
      </c>
      <c r="L472" s="1">
        <f t="shared" si="50"/>
        <v>-12.764207078651685</v>
      </c>
      <c r="M472" s="1">
        <v>-223.25812999999999</v>
      </c>
      <c r="N472" s="1">
        <v>-28.624269999999999</v>
      </c>
    </row>
    <row r="473" spans="1:14" x14ac:dyDescent="0.4">
      <c r="B473" s="1">
        <v>23.85</v>
      </c>
      <c r="C473" s="1" t="s">
        <v>484</v>
      </c>
      <c r="D473" s="3">
        <f t="shared" si="52"/>
        <v>1969.8181773000001</v>
      </c>
      <c r="E473" s="1">
        <v>13.750999999999999</v>
      </c>
      <c r="F473" s="1">
        <v>57.6783</v>
      </c>
      <c r="G473" s="1">
        <v>10.770099999999999</v>
      </c>
      <c r="H473" s="1">
        <v>3.4802</v>
      </c>
      <c r="I473" s="1">
        <v>99.260599999999997</v>
      </c>
      <c r="J473" s="1">
        <f t="shared" si="49"/>
        <v>98.738061999999999</v>
      </c>
      <c r="K473" s="1">
        <v>4.0967199999999764</v>
      </c>
      <c r="L473" s="1">
        <f t="shared" si="50"/>
        <v>-41.719821348314611</v>
      </c>
      <c r="M473" s="1">
        <v>-224.72730999999999</v>
      </c>
      <c r="N473" s="1">
        <v>-28.61627</v>
      </c>
    </row>
    <row r="474" spans="1:14" x14ac:dyDescent="0.4">
      <c r="B474" s="1">
        <v>23.9</v>
      </c>
      <c r="C474" s="1" t="s">
        <v>485</v>
      </c>
      <c r="D474" s="3">
        <f t="shared" si="52"/>
        <v>1969.7272682</v>
      </c>
      <c r="E474" s="1">
        <v>10.096399999999999</v>
      </c>
      <c r="F474" s="1">
        <v>14.840199999999999</v>
      </c>
      <c r="G474" s="1">
        <v>2.2094999999999998</v>
      </c>
      <c r="H474" s="1">
        <v>1.359</v>
      </c>
      <c r="I474" s="1">
        <v>32.882399999999997</v>
      </c>
      <c r="J474" s="1">
        <f t="shared" si="49"/>
        <v>32.498736799999996</v>
      </c>
      <c r="K474" s="1">
        <v>2.3153299999999888</v>
      </c>
      <c r="L474" s="1">
        <f t="shared" si="50"/>
        <v>-8.1613173033707866</v>
      </c>
      <c r="M474" s="1">
        <v>-232.82084</v>
      </c>
      <c r="N474" s="1">
        <v>-29.674520000000001</v>
      </c>
    </row>
    <row r="475" spans="1:14" x14ac:dyDescent="0.4">
      <c r="B475" s="1">
        <v>23.95</v>
      </c>
      <c r="C475" s="1" t="s">
        <v>486</v>
      </c>
      <c r="D475" s="3">
        <f t="shared" si="52"/>
        <v>1969.6363590999999</v>
      </c>
      <c r="E475" s="1">
        <v>57.045900000000003</v>
      </c>
      <c r="F475" s="1">
        <v>130.97540000000001</v>
      </c>
      <c r="G475" s="1">
        <v>12.802</v>
      </c>
      <c r="H475" s="1">
        <v>13.012700000000001</v>
      </c>
      <c r="I475" s="1">
        <v>508.74149999999997</v>
      </c>
      <c r="J475" s="1">
        <f t="shared" si="49"/>
        <v>506.57375579999996</v>
      </c>
      <c r="K475" s="1">
        <v>5.7360299999999995</v>
      </c>
      <c r="L475" s="1">
        <f t="shared" si="50"/>
        <v>-227.54609764044937</v>
      </c>
      <c r="M475" s="1">
        <v>-245.8126</v>
      </c>
      <c r="N475" s="1">
        <v>-30.786390000000001</v>
      </c>
    </row>
    <row r="476" spans="1:14" x14ac:dyDescent="0.4">
      <c r="B476" s="1">
        <v>24</v>
      </c>
      <c r="C476" s="1" t="s">
        <v>487</v>
      </c>
      <c r="D476" s="3">
        <f t="shared" si="52"/>
        <v>1969.5454500000001</v>
      </c>
      <c r="E476" s="1">
        <v>36.1935</v>
      </c>
      <c r="F476" s="1">
        <v>7.2381000000000002</v>
      </c>
      <c r="G476" s="1">
        <v>2.7027999999999999</v>
      </c>
      <c r="H476" s="1">
        <v>3.81</v>
      </c>
      <c r="I476" s="1">
        <v>31.802399999999999</v>
      </c>
      <c r="J476" s="1">
        <f t="shared" si="49"/>
        <v>30.427046999999998</v>
      </c>
      <c r="K476" s="1">
        <v>4.2028500000000122</v>
      </c>
      <c r="L476" s="1">
        <f t="shared" si="50"/>
        <v>19.09965337078652</v>
      </c>
      <c r="M476" s="1">
        <v>-258.36450000000002</v>
      </c>
      <c r="N476" s="1">
        <v>-32.326419999999999</v>
      </c>
    </row>
    <row r="477" spans="1:14" x14ac:dyDescent="0.4">
      <c r="B477" s="1">
        <v>24.05</v>
      </c>
      <c r="C477" s="1" t="s">
        <v>488</v>
      </c>
      <c r="D477" s="3">
        <f t="shared" si="52"/>
        <v>1969.4545409</v>
      </c>
      <c r="E477" s="1">
        <v>21.3474</v>
      </c>
      <c r="F477" s="1">
        <v>107.3998</v>
      </c>
      <c r="G477" s="1">
        <v>10.2638</v>
      </c>
      <c r="H477" s="1">
        <v>4.2134999999999998</v>
      </c>
      <c r="I477" s="1">
        <v>125.94710000000001</v>
      </c>
      <c r="J477" s="1">
        <f t="shared" si="49"/>
        <v>125.13589880000001</v>
      </c>
      <c r="K477" s="1">
        <v>4.5753200000000049</v>
      </c>
      <c r="L477" s="1">
        <f t="shared" si="50"/>
        <v>-48.953666741573038</v>
      </c>
      <c r="M477" s="1">
        <v>-260.61147999999997</v>
      </c>
      <c r="N477" s="1">
        <v>-32.593319999999999</v>
      </c>
    </row>
    <row r="478" spans="1:14" x14ac:dyDescent="0.4">
      <c r="B478" s="1">
        <v>24.1</v>
      </c>
      <c r="C478" s="1" t="s">
        <v>489</v>
      </c>
      <c r="D478" s="3">
        <f t="shared" si="52"/>
        <v>1969.3636318000001</v>
      </c>
      <c r="E478" s="1">
        <v>97.967299999999994</v>
      </c>
      <c r="F478" s="1">
        <v>28.827300000000001</v>
      </c>
      <c r="G478" s="1">
        <v>78.112399999999994</v>
      </c>
      <c r="H478" s="1">
        <v>8.1672999999999991</v>
      </c>
      <c r="I478" s="1">
        <v>70.054199999999994</v>
      </c>
      <c r="J478" s="1">
        <f t="shared" si="49"/>
        <v>66.331442599999988</v>
      </c>
      <c r="K478" s="1">
        <v>0.47852000000000317</v>
      </c>
      <c r="L478" s="1">
        <f t="shared" si="50"/>
        <v>60.702444606741572</v>
      </c>
      <c r="M478" s="1">
        <v>-258.76263</v>
      </c>
      <c r="N478" s="1">
        <v>-32.495939999999997</v>
      </c>
    </row>
    <row r="479" spans="1:14" x14ac:dyDescent="0.4">
      <c r="B479" s="1">
        <v>24.15</v>
      </c>
      <c r="C479" s="1" t="s">
        <v>490</v>
      </c>
      <c r="D479" s="3">
        <f t="shared" si="52"/>
        <v>1969.2727227</v>
      </c>
      <c r="E479" s="1">
        <v>62.378799999999998</v>
      </c>
      <c r="F479" s="1">
        <v>18.457899999999999</v>
      </c>
      <c r="G479" s="1">
        <v>10.35</v>
      </c>
      <c r="H479" s="1">
        <v>15.7149</v>
      </c>
      <c r="I479" s="1">
        <v>70.304000000000002</v>
      </c>
      <c r="J479" s="1">
        <f t="shared" si="49"/>
        <v>67.933605600000007</v>
      </c>
      <c r="K479" s="1">
        <v>0.24685999999996966</v>
      </c>
      <c r="L479" s="1">
        <f t="shared" si="50"/>
        <v>24.213853033707863</v>
      </c>
      <c r="M479" s="1">
        <v>-249.6628</v>
      </c>
      <c r="N479" s="1">
        <v>-31.562539999999998</v>
      </c>
    </row>
    <row r="480" spans="1:14" x14ac:dyDescent="0.4">
      <c r="B480" s="1">
        <v>24.2</v>
      </c>
      <c r="C480" s="1" t="s">
        <v>491</v>
      </c>
      <c r="D480" s="3">
        <f t="shared" si="52"/>
        <v>1969.1818135999999</v>
      </c>
      <c r="E480" s="1">
        <v>33.226799999999997</v>
      </c>
      <c r="F480" s="1">
        <v>8.4519000000000002</v>
      </c>
      <c r="G480" s="1">
        <v>5.5678999999999998</v>
      </c>
      <c r="H480" s="1">
        <v>6.6412000000000004</v>
      </c>
      <c r="I480" s="1">
        <v>36.9101</v>
      </c>
      <c r="J480" s="1">
        <f t="shared" si="49"/>
        <v>35.647481599999999</v>
      </c>
      <c r="K480" s="1">
        <v>0.1350800000000163</v>
      </c>
      <c r="L480" s="1">
        <f t="shared" si="50"/>
        <v>13.200124943820224</v>
      </c>
      <c r="M480" s="1">
        <v>-238.55185</v>
      </c>
      <c r="N480" s="1">
        <v>-30.182659999999998</v>
      </c>
    </row>
    <row r="481" spans="1:14" x14ac:dyDescent="0.4">
      <c r="B481" s="1">
        <v>24.25</v>
      </c>
      <c r="C481" s="1" t="s">
        <v>492</v>
      </c>
      <c r="D481" s="3">
        <f t="shared" si="52"/>
        <v>1969.0909045000001</v>
      </c>
      <c r="E481" s="1">
        <v>17.625699999999998</v>
      </c>
      <c r="F481" s="1">
        <v>14.515499999999999</v>
      </c>
      <c r="G481" s="1">
        <v>8.1180000000000003</v>
      </c>
      <c r="H481" s="1">
        <v>4.5560999999999998</v>
      </c>
      <c r="I481" s="1">
        <v>171.79390000000001</v>
      </c>
      <c r="J481" s="1">
        <f t="shared" si="49"/>
        <v>171.1241234</v>
      </c>
      <c r="K481" s="1">
        <v>1.2048899999999776</v>
      </c>
      <c r="L481" s="1">
        <f t="shared" si="50"/>
        <v>-78.511447977528093</v>
      </c>
      <c r="M481" s="1">
        <v>-229.48594</v>
      </c>
      <c r="N481" s="1">
        <v>-29.149450000000002</v>
      </c>
    </row>
    <row r="482" spans="1:14" x14ac:dyDescent="0.4">
      <c r="A482" s="1">
        <v>1969</v>
      </c>
      <c r="B482" s="1">
        <v>24.3</v>
      </c>
      <c r="C482" s="1" t="s">
        <v>493</v>
      </c>
      <c r="D482" s="3">
        <f>-2.5*B482+2029.75</f>
        <v>1969</v>
      </c>
      <c r="E482" s="1">
        <v>12.7401</v>
      </c>
      <c r="F482" s="1">
        <v>8.2591999999999999</v>
      </c>
      <c r="G482" s="1">
        <v>2.4054000000000002</v>
      </c>
      <c r="H482" s="1">
        <v>2.8532000000000002</v>
      </c>
      <c r="I482" s="1">
        <v>36.333100000000002</v>
      </c>
      <c r="J482" s="1">
        <f t="shared" si="49"/>
        <v>35.848976200000003</v>
      </c>
      <c r="K482" s="1">
        <v>2.8375199999999836</v>
      </c>
      <c r="L482" s="1">
        <f t="shared" si="50"/>
        <v>-7.3997742696629221</v>
      </c>
      <c r="M482" s="1">
        <v>-221.54622000000001</v>
      </c>
      <c r="N482" s="1">
        <v>-28.224329999999998</v>
      </c>
    </row>
    <row r="483" spans="1:14" x14ac:dyDescent="0.4">
      <c r="B483" s="1">
        <v>24.35</v>
      </c>
      <c r="C483" s="1" t="s">
        <v>494</v>
      </c>
      <c r="D483" s="3">
        <f t="shared" ref="D483:D489" si="53">-2.5*B483+2029.75</f>
        <v>1968.875</v>
      </c>
      <c r="E483" s="1">
        <v>53.908499999999997</v>
      </c>
      <c r="F483" s="1">
        <v>38.8155</v>
      </c>
      <c r="G483" s="1">
        <v>14.9895</v>
      </c>
      <c r="H483" s="1">
        <v>13.798999999999999</v>
      </c>
      <c r="I483" s="1">
        <v>194.37180000000001</v>
      </c>
      <c r="J483" s="1">
        <f t="shared" si="49"/>
        <v>192.32327700000002</v>
      </c>
      <c r="K483" s="1">
        <v>2.9094299999999862</v>
      </c>
      <c r="L483" s="1">
        <f t="shared" si="50"/>
        <v>-54.138284831460687</v>
      </c>
      <c r="M483" s="1">
        <v>-219.50023999999999</v>
      </c>
      <c r="N483" s="1">
        <v>-28.025790000000001</v>
      </c>
    </row>
    <row r="484" spans="1:14" x14ac:dyDescent="0.4">
      <c r="B484" s="1">
        <v>24.4</v>
      </c>
      <c r="C484" s="1" t="s">
        <v>495</v>
      </c>
      <c r="D484" s="3">
        <f t="shared" si="53"/>
        <v>1968.75</v>
      </c>
      <c r="E484" s="1">
        <v>40.095300000000002</v>
      </c>
      <c r="F484" s="1">
        <v>9.3870000000000005</v>
      </c>
      <c r="G484" s="1">
        <v>3.0377000000000001</v>
      </c>
      <c r="H484" s="1">
        <v>5.6589</v>
      </c>
      <c r="I484" s="1">
        <v>29.8062</v>
      </c>
      <c r="J484" s="1">
        <f t="shared" si="49"/>
        <v>28.282578600000001</v>
      </c>
      <c r="K484" s="1">
        <v>3.7096600000000137</v>
      </c>
      <c r="L484" s="1">
        <f t="shared" si="50"/>
        <v>24.206210898876407</v>
      </c>
      <c r="M484" s="1">
        <v>-223.83510999999999</v>
      </c>
      <c r="N484" s="1">
        <v>-28.38232</v>
      </c>
    </row>
    <row r="485" spans="1:14" x14ac:dyDescent="0.4">
      <c r="B485" s="1">
        <v>24.45</v>
      </c>
      <c r="C485" s="1" t="s">
        <v>496</v>
      </c>
      <c r="D485" s="3">
        <f t="shared" si="53"/>
        <v>1968.625</v>
      </c>
      <c r="E485" s="1">
        <v>556.40150000000006</v>
      </c>
      <c r="F485" s="1">
        <v>192.9453</v>
      </c>
      <c r="G485" s="1">
        <v>280.51209999999998</v>
      </c>
      <c r="H485" s="1">
        <v>55.8855</v>
      </c>
      <c r="I485" s="1">
        <v>643.62919999999997</v>
      </c>
      <c r="J485" s="1">
        <f t="shared" si="49"/>
        <v>622.48594300000002</v>
      </c>
      <c r="K485" s="1">
        <v>4.2484199999999817</v>
      </c>
      <c r="L485" s="1">
        <f t="shared" si="50"/>
        <v>206.69029606741577</v>
      </c>
      <c r="M485" s="1">
        <v>-229.92175</v>
      </c>
      <c r="N485" s="1">
        <v>-29.253419999999998</v>
      </c>
    </row>
    <row r="486" spans="1:14" x14ac:dyDescent="0.4">
      <c r="B486" s="1">
        <v>24.5</v>
      </c>
      <c r="C486" s="1" t="s">
        <v>497</v>
      </c>
      <c r="D486" s="3">
        <f t="shared" si="53"/>
        <v>1968.5</v>
      </c>
      <c r="E486" s="1">
        <v>23.674199999999999</v>
      </c>
      <c r="F486" s="1">
        <v>16.098199999999999</v>
      </c>
      <c r="G486" s="1">
        <v>3.1707000000000001</v>
      </c>
      <c r="H486" s="1">
        <v>4.0170000000000003</v>
      </c>
      <c r="I486" s="1">
        <v>42.163499999999999</v>
      </c>
      <c r="J486" s="1">
        <f t="shared" si="49"/>
        <v>41.263880399999998</v>
      </c>
      <c r="K486" s="1">
        <v>4.7060800000000143</v>
      </c>
      <c r="L486" s="1">
        <f t="shared" si="50"/>
        <v>0.492244719101123</v>
      </c>
      <c r="M486" s="1">
        <v>-229.03790000000001</v>
      </c>
      <c r="N486" s="1">
        <v>-29.33379</v>
      </c>
    </row>
    <row r="487" spans="1:14" x14ac:dyDescent="0.4">
      <c r="B487" s="1">
        <v>24.55</v>
      </c>
      <c r="C487" s="1" t="s">
        <v>498</v>
      </c>
      <c r="D487" s="3">
        <f t="shared" si="53"/>
        <v>1968.375</v>
      </c>
      <c r="E487" s="1">
        <v>304.2962</v>
      </c>
      <c r="F487" s="1">
        <v>11.9504</v>
      </c>
      <c r="G487" s="1">
        <v>18.900300000000001</v>
      </c>
      <c r="H487" s="1">
        <v>50.495600000000003</v>
      </c>
      <c r="I487" s="1">
        <v>250.19159999999999</v>
      </c>
      <c r="J487" s="1">
        <f t="shared" si="49"/>
        <v>238.6283444</v>
      </c>
      <c r="K487" s="1">
        <v>3.2234500000000139</v>
      </c>
      <c r="L487" s="1">
        <f t="shared" si="50"/>
        <v>170.23533235955057</v>
      </c>
      <c r="M487" s="1">
        <v>-228.95025999999999</v>
      </c>
      <c r="N487" s="1">
        <v>-29.328410000000002</v>
      </c>
    </row>
    <row r="488" spans="1:14" x14ac:dyDescent="0.4">
      <c r="B488" s="1">
        <v>24.6</v>
      </c>
      <c r="C488" s="1" t="s">
        <v>499</v>
      </c>
      <c r="D488" s="3">
        <f t="shared" si="53"/>
        <v>1968.25</v>
      </c>
      <c r="E488" s="1">
        <v>181.68870000000001</v>
      </c>
      <c r="F488" s="1">
        <v>10.842000000000001</v>
      </c>
      <c r="G488" s="1">
        <v>7.9406999999999996</v>
      </c>
      <c r="H488" s="1">
        <v>22.919</v>
      </c>
      <c r="I488" s="1">
        <v>55.690899999999999</v>
      </c>
      <c r="J488" s="1">
        <f t="shared" si="49"/>
        <v>48.786729399999999</v>
      </c>
      <c r="K488" s="1">
        <v>4.1056099999999844</v>
      </c>
      <c r="L488" s="1">
        <f t="shared" si="50"/>
        <v>154.28042505617978</v>
      </c>
      <c r="M488" s="1">
        <v>-228.35866999999999</v>
      </c>
      <c r="N488" s="1">
        <v>-29.091670000000001</v>
      </c>
    </row>
    <row r="489" spans="1:14" x14ac:dyDescent="0.4">
      <c r="B489" s="1">
        <v>24.65</v>
      </c>
      <c r="C489" s="1" t="s">
        <v>500</v>
      </c>
      <c r="D489" s="3">
        <f t="shared" si="53"/>
        <v>1968.125</v>
      </c>
      <c r="E489" s="1">
        <v>176.08709999999999</v>
      </c>
      <c r="F489" s="1">
        <v>25.009</v>
      </c>
      <c r="G489" s="1">
        <v>12.703099999999999</v>
      </c>
      <c r="H489" s="1">
        <v>36.654800000000002</v>
      </c>
      <c r="I489" s="1">
        <v>272.59609999999998</v>
      </c>
      <c r="J489" s="1">
        <f t="shared" si="49"/>
        <v>265.90479019999998</v>
      </c>
      <c r="K489" s="1">
        <v>5.6324199999999962</v>
      </c>
      <c r="L489" s="1">
        <f t="shared" si="50"/>
        <v>26.702386404494376</v>
      </c>
      <c r="M489" s="1">
        <v>-228.39275000000001</v>
      </c>
      <c r="N489" s="1">
        <v>-29.116160000000001</v>
      </c>
    </row>
    <row r="490" spans="1:14" x14ac:dyDescent="0.4">
      <c r="A490" s="1">
        <v>1968</v>
      </c>
      <c r="B490" s="1">
        <v>24.7</v>
      </c>
      <c r="C490" s="1" t="s">
        <v>501</v>
      </c>
      <c r="D490" s="3">
        <f>-1.3333333*B490+2000.93333333</f>
        <v>1968.0000008200002</v>
      </c>
      <c r="E490" s="1">
        <v>28.910799999999998</v>
      </c>
      <c r="F490" s="1">
        <v>16.9209</v>
      </c>
      <c r="G490" s="1">
        <v>2.9792000000000001</v>
      </c>
      <c r="H490" s="1">
        <v>4.7241999999999997</v>
      </c>
      <c r="I490" s="1">
        <v>36.480899999999998</v>
      </c>
      <c r="J490" s="1">
        <f t="shared" si="49"/>
        <v>35.3822896</v>
      </c>
      <c r="K490" s="1">
        <v>5.6770200000000273</v>
      </c>
      <c r="L490" s="1">
        <f t="shared" si="50"/>
        <v>9.0331092134831437</v>
      </c>
      <c r="M490" s="1">
        <v>-222.82871</v>
      </c>
      <c r="N490" s="1">
        <v>-28.476849999999999</v>
      </c>
    </row>
    <row r="491" spans="1:14" x14ac:dyDescent="0.4">
      <c r="B491" s="1">
        <v>24.75</v>
      </c>
      <c r="C491" s="1" t="s">
        <v>502</v>
      </c>
      <c r="D491" s="3">
        <f t="shared" ref="D491:D504" si="54">-1.3333333*B491+2000.93333333</f>
        <v>1967.933334155</v>
      </c>
      <c r="E491" s="1">
        <v>168.93360000000001</v>
      </c>
      <c r="F491" s="1">
        <v>46.147500000000001</v>
      </c>
      <c r="G491" s="1">
        <v>36.695300000000003</v>
      </c>
      <c r="H491" s="1">
        <v>23.476099999999999</v>
      </c>
      <c r="I491" s="1">
        <v>346.6241</v>
      </c>
      <c r="J491" s="1">
        <f t="shared" si="49"/>
        <v>340.20462320000001</v>
      </c>
      <c r="K491" s="1">
        <v>4.3746900000000153</v>
      </c>
      <c r="L491" s="1">
        <f t="shared" si="50"/>
        <v>-22.192592808988763</v>
      </c>
      <c r="M491" s="1">
        <v>-211.8603</v>
      </c>
      <c r="N491" s="1">
        <v>-27.2422</v>
      </c>
    </row>
    <row r="492" spans="1:14" x14ac:dyDescent="0.4">
      <c r="B492" s="1">
        <v>24.8</v>
      </c>
      <c r="C492" s="1" t="s">
        <v>503</v>
      </c>
      <c r="D492" s="3">
        <f t="shared" si="54"/>
        <v>1967.8666674900001</v>
      </c>
      <c r="E492" s="1">
        <v>58.360700000000001</v>
      </c>
      <c r="F492" s="1">
        <v>9.3007000000000009</v>
      </c>
      <c r="G492" s="1">
        <v>2.8873000000000002</v>
      </c>
      <c r="H492" s="1">
        <v>7.8493000000000004</v>
      </c>
      <c r="I492" s="1">
        <v>25.008900000000001</v>
      </c>
      <c r="J492" s="1">
        <f t="shared" si="49"/>
        <v>22.791193400000001</v>
      </c>
      <c r="K492" s="1">
        <v>4.5365299999999991</v>
      </c>
      <c r="L492" s="1">
        <f t="shared" si="50"/>
        <v>45.556658764044947</v>
      </c>
      <c r="M492" s="1">
        <v>-210.14663999999999</v>
      </c>
      <c r="N492" s="1">
        <v>-27.37349</v>
      </c>
    </row>
    <row r="493" spans="1:14" x14ac:dyDescent="0.4">
      <c r="B493" s="1">
        <v>24.85</v>
      </c>
      <c r="C493" s="1" t="s">
        <v>504</v>
      </c>
      <c r="D493" s="3">
        <f t="shared" si="54"/>
        <v>1967.8000008250001</v>
      </c>
      <c r="E493" s="1">
        <v>270.66840000000002</v>
      </c>
      <c r="F493" s="1">
        <v>33.935000000000002</v>
      </c>
      <c r="G493" s="1">
        <v>39.293199999999999</v>
      </c>
      <c r="H493" s="1">
        <v>37.2697</v>
      </c>
      <c r="I493" s="1">
        <v>309.77100000000002</v>
      </c>
      <c r="J493" s="1">
        <f t="shared" si="49"/>
        <v>299.48560080000004</v>
      </c>
      <c r="K493" s="1">
        <v>4.9860899999999901</v>
      </c>
      <c r="L493" s="1">
        <f t="shared" si="50"/>
        <v>102.4180624719101</v>
      </c>
      <c r="M493" s="1">
        <v>-213.05751000000001</v>
      </c>
      <c r="N493" s="1">
        <v>-27.50207</v>
      </c>
    </row>
    <row r="494" spans="1:14" x14ac:dyDescent="0.4">
      <c r="B494" s="1">
        <v>24.9</v>
      </c>
      <c r="C494" s="1" t="s">
        <v>505</v>
      </c>
      <c r="D494" s="3">
        <f t="shared" si="54"/>
        <v>1967.7333341600001</v>
      </c>
      <c r="E494" s="1">
        <v>148.92750000000001</v>
      </c>
      <c r="F494" s="1">
        <v>16.6677</v>
      </c>
      <c r="G494" s="1">
        <v>6.1891999999999996</v>
      </c>
      <c r="H494" s="1">
        <v>30.2074</v>
      </c>
      <c r="I494" s="1">
        <v>46.310899999999997</v>
      </c>
      <c r="J494" s="1">
        <f t="shared" si="49"/>
        <v>40.651654999999998</v>
      </c>
      <c r="K494" s="1">
        <v>6.0773000000000081</v>
      </c>
      <c r="L494" s="1">
        <f t="shared" si="50"/>
        <v>126.08949157303371</v>
      </c>
      <c r="M494" s="1">
        <v>-224.60167999999999</v>
      </c>
      <c r="N494" s="1">
        <v>-28.692830000000001</v>
      </c>
    </row>
    <row r="495" spans="1:14" x14ac:dyDescent="0.4">
      <c r="B495" s="1">
        <v>24.95</v>
      </c>
      <c r="C495" s="1" t="s">
        <v>506</v>
      </c>
      <c r="D495" s="3">
        <f t="shared" si="54"/>
        <v>1967.6666674950002</v>
      </c>
      <c r="E495" s="1">
        <v>730.7876</v>
      </c>
      <c r="F495" s="1">
        <v>33.1113</v>
      </c>
      <c r="G495" s="1">
        <v>39.416600000000003</v>
      </c>
      <c r="H495" s="1">
        <v>63.664299999999997</v>
      </c>
      <c r="I495" s="1">
        <v>255.5598</v>
      </c>
      <c r="J495" s="1">
        <f t="shared" si="49"/>
        <v>227.78987119999999</v>
      </c>
      <c r="K495" s="1">
        <v>8.8412800000000118</v>
      </c>
      <c r="L495" s="1">
        <f t="shared" si="50"/>
        <v>602.81576224719106</v>
      </c>
      <c r="M495" s="1">
        <v>-235.96105</v>
      </c>
      <c r="N495" s="1">
        <v>-30.06259</v>
      </c>
    </row>
    <row r="496" spans="1:14" x14ac:dyDescent="0.4">
      <c r="B496" s="1">
        <v>25</v>
      </c>
      <c r="C496" s="1" t="s">
        <v>507</v>
      </c>
      <c r="D496" s="3">
        <f t="shared" si="54"/>
        <v>1967.60000083</v>
      </c>
      <c r="E496" s="1">
        <v>17.229500000000002</v>
      </c>
      <c r="F496" s="1">
        <v>16.569400000000002</v>
      </c>
      <c r="G496" s="1">
        <v>2.0884999999999998</v>
      </c>
      <c r="H496" s="1">
        <v>12.733599999999999</v>
      </c>
      <c r="I496" s="1">
        <v>40.760399999999997</v>
      </c>
      <c r="J496" s="1">
        <f t="shared" si="49"/>
        <v>40.105678999999995</v>
      </c>
      <c r="K496" s="1">
        <v>6.9590499999999906</v>
      </c>
      <c r="L496" s="1">
        <f t="shared" si="50"/>
        <v>-5.3017803370786467</v>
      </c>
      <c r="M496" s="1">
        <v>-252.34664000000001</v>
      </c>
      <c r="N496" s="1">
        <v>-31.814589999999999</v>
      </c>
    </row>
    <row r="497" spans="1:14" x14ac:dyDescent="0.4">
      <c r="B497" s="1">
        <v>25.05</v>
      </c>
      <c r="C497" s="1" t="s">
        <v>508</v>
      </c>
      <c r="D497" s="3">
        <f t="shared" si="54"/>
        <v>1967.533334165</v>
      </c>
      <c r="E497" s="1">
        <v>191.09710000000001</v>
      </c>
      <c r="F497" s="1">
        <v>28.336400000000001</v>
      </c>
      <c r="G497" s="1">
        <v>16.331700000000001</v>
      </c>
      <c r="H497" s="1">
        <v>29.065000000000001</v>
      </c>
      <c r="I497" s="1">
        <v>222.15989999999999</v>
      </c>
      <c r="J497" s="1">
        <f t="shared" si="49"/>
        <v>214.89821019999999</v>
      </c>
      <c r="K497" s="1">
        <v>4.9409600000000182</v>
      </c>
      <c r="L497" s="1">
        <f t="shared" si="50"/>
        <v>70.367768426966308</v>
      </c>
      <c r="M497" s="1">
        <v>-255.69028</v>
      </c>
      <c r="N497" s="1">
        <v>-32.26576</v>
      </c>
    </row>
    <row r="498" spans="1:14" x14ac:dyDescent="0.4">
      <c r="B498" s="1">
        <v>25.1</v>
      </c>
      <c r="C498" s="1" t="s">
        <v>509</v>
      </c>
      <c r="D498" s="3">
        <f t="shared" si="54"/>
        <v>1967.4666675000001</v>
      </c>
      <c r="E498" s="1">
        <v>59.295999999999999</v>
      </c>
      <c r="F498" s="1">
        <v>15.5458</v>
      </c>
      <c r="G498" s="1">
        <v>4.0239000000000003</v>
      </c>
      <c r="H498" s="1">
        <v>7.2679</v>
      </c>
      <c r="I498" s="1">
        <v>21.626899999999999</v>
      </c>
      <c r="J498" s="1">
        <f t="shared" si="49"/>
        <v>19.373652</v>
      </c>
      <c r="K498" s="1">
        <v>4.539670000000001</v>
      </c>
      <c r="L498" s="1">
        <f t="shared" si="50"/>
        <v>48.411925842696633</v>
      </c>
      <c r="M498" s="1">
        <v>-253.29106999999999</v>
      </c>
      <c r="N498" s="1">
        <v>-32.083970000000001</v>
      </c>
    </row>
    <row r="499" spans="1:14" x14ac:dyDescent="0.4">
      <c r="B499" s="1">
        <v>25.15</v>
      </c>
      <c r="C499" s="1" t="s">
        <v>510</v>
      </c>
      <c r="D499" s="3">
        <f t="shared" si="54"/>
        <v>1967.4000008350001</v>
      </c>
      <c r="E499" s="1">
        <v>324.37900000000002</v>
      </c>
      <c r="F499" s="1">
        <v>16.422000000000001</v>
      </c>
      <c r="G499" s="1">
        <v>46.747900000000001</v>
      </c>
      <c r="H499" s="1">
        <v>42.262300000000003</v>
      </c>
      <c r="I499" s="1">
        <v>359.0829</v>
      </c>
      <c r="J499" s="1">
        <f t="shared" si="49"/>
        <v>346.75649800000002</v>
      </c>
      <c r="K499" s="1">
        <v>2.1700799999999845</v>
      </c>
      <c r="L499" s="1">
        <f t="shared" si="50"/>
        <v>129.57197865168541</v>
      </c>
      <c r="M499" s="1">
        <v>-243.83242999999999</v>
      </c>
      <c r="N499" s="1">
        <v>-30.674309999999998</v>
      </c>
    </row>
    <row r="500" spans="1:14" x14ac:dyDescent="0.4">
      <c r="B500" s="1">
        <v>25.2</v>
      </c>
      <c r="C500" s="1" t="s">
        <v>511</v>
      </c>
      <c r="D500" s="3">
        <f t="shared" si="54"/>
        <v>1967.3333341700002</v>
      </c>
      <c r="E500" s="1">
        <v>20.875499999999999</v>
      </c>
      <c r="F500" s="1">
        <v>3.8919000000000001</v>
      </c>
      <c r="G500" s="1">
        <v>4.8250000000000002</v>
      </c>
      <c r="H500" s="1">
        <v>2.8677999999999999</v>
      </c>
      <c r="I500" s="1">
        <v>47.727600000000002</v>
      </c>
      <c r="J500" s="1">
        <f t="shared" si="49"/>
        <v>46.934331</v>
      </c>
      <c r="K500" s="1">
        <v>2.4358000000000004</v>
      </c>
      <c r="L500" s="1">
        <f t="shared" si="50"/>
        <v>-5.4921016853932585</v>
      </c>
      <c r="M500" s="1">
        <v>-238.54273000000001</v>
      </c>
      <c r="N500" s="1">
        <v>-30.147659999999998</v>
      </c>
    </row>
    <row r="501" spans="1:14" x14ac:dyDescent="0.4">
      <c r="B501" s="1">
        <v>25.25</v>
      </c>
      <c r="C501" s="1" t="s">
        <v>512</v>
      </c>
      <c r="D501" s="3">
        <f t="shared" si="54"/>
        <v>1967.266667505</v>
      </c>
      <c r="E501" s="1">
        <v>69.0107</v>
      </c>
      <c r="F501" s="1">
        <v>16.6995</v>
      </c>
      <c r="G501" s="1">
        <v>19.165800000000001</v>
      </c>
      <c r="H501" s="1">
        <v>9.6059999999999999</v>
      </c>
      <c r="I501" s="1">
        <v>354.89850000000001</v>
      </c>
      <c r="J501" s="1">
        <f t="shared" si="49"/>
        <v>352.27609340000004</v>
      </c>
      <c r="K501" s="1">
        <v>3.3806900000000155</v>
      </c>
      <c r="L501" s="1">
        <f t="shared" si="50"/>
        <v>-128.89721764044947</v>
      </c>
      <c r="M501" s="1">
        <v>-237.19906</v>
      </c>
      <c r="N501" s="1">
        <v>-29.80827</v>
      </c>
    </row>
    <row r="502" spans="1:14" x14ac:dyDescent="0.4">
      <c r="B502" s="1">
        <v>25.3</v>
      </c>
      <c r="C502" s="1" t="s">
        <v>513</v>
      </c>
      <c r="D502" s="3">
        <f t="shared" si="54"/>
        <v>1967.20000084</v>
      </c>
      <c r="E502" s="1">
        <v>12.5044</v>
      </c>
      <c r="F502" s="1">
        <v>4.8090999999999999</v>
      </c>
      <c r="G502" s="1">
        <v>2.8351999999999999</v>
      </c>
      <c r="H502" s="1">
        <v>1.9666999999999999</v>
      </c>
      <c r="I502" s="1">
        <v>25.912099999999999</v>
      </c>
      <c r="J502" s="1">
        <f t="shared" si="49"/>
        <v>25.436932799999997</v>
      </c>
      <c r="K502" s="1">
        <v>1.5620499999999993</v>
      </c>
      <c r="L502" s="1">
        <f t="shared" si="50"/>
        <v>-1.7860116853932571</v>
      </c>
      <c r="M502" s="1">
        <v>-236.47076999999999</v>
      </c>
      <c r="N502" s="1">
        <v>-29.86965</v>
      </c>
    </row>
    <row r="503" spans="1:14" x14ac:dyDescent="0.4">
      <c r="B503" s="1">
        <v>25.35</v>
      </c>
      <c r="C503" s="1" t="s">
        <v>514</v>
      </c>
      <c r="D503" s="3">
        <f t="shared" si="54"/>
        <v>1967.1333341750001</v>
      </c>
      <c r="E503" s="1">
        <v>36.225700000000003</v>
      </c>
      <c r="F503" s="1">
        <v>24.444099999999999</v>
      </c>
      <c r="G503" s="1">
        <v>15.7202</v>
      </c>
      <c r="H503" s="1">
        <v>4.2877999999999998</v>
      </c>
      <c r="I503" s="1">
        <v>308.57499999999999</v>
      </c>
      <c r="J503" s="1">
        <f t="shared" si="49"/>
        <v>307.19842339999997</v>
      </c>
      <c r="K503" s="1">
        <v>2.6385499999999809</v>
      </c>
      <c r="L503" s="1">
        <f t="shared" si="50"/>
        <v>-136.35768393258422</v>
      </c>
      <c r="M503" s="1">
        <v>-237.4556</v>
      </c>
      <c r="N503" s="1">
        <v>-29.99089</v>
      </c>
    </row>
    <row r="504" spans="1:14" x14ac:dyDescent="0.4">
      <c r="B504" s="1">
        <v>25.4</v>
      </c>
      <c r="C504" s="1" t="s">
        <v>515</v>
      </c>
      <c r="D504" s="3">
        <f t="shared" si="54"/>
        <v>1967.0666675100001</v>
      </c>
      <c r="E504" s="1">
        <v>21.202999999999999</v>
      </c>
      <c r="F504" s="1">
        <v>6.4273999999999996</v>
      </c>
      <c r="G504" s="1">
        <v>3.3092000000000001</v>
      </c>
      <c r="H504" s="1">
        <v>3.9032</v>
      </c>
      <c r="I504" s="1">
        <v>31.811299999999999</v>
      </c>
      <c r="J504" s="1">
        <f t="shared" si="49"/>
        <v>31.005586000000001</v>
      </c>
      <c r="K504" s="1">
        <v>1.2670999999999992</v>
      </c>
      <c r="L504" s="1">
        <f t="shared" si="50"/>
        <v>3.784131460674157</v>
      </c>
      <c r="M504" s="1">
        <v>-239.48105000000001</v>
      </c>
      <c r="N504" s="1">
        <v>-30.131979999999999</v>
      </c>
    </row>
    <row r="505" spans="1:14" x14ac:dyDescent="0.4">
      <c r="A505" s="1">
        <v>1967</v>
      </c>
      <c r="B505" s="1">
        <v>25.45</v>
      </c>
      <c r="C505" s="1" t="s">
        <v>516</v>
      </c>
      <c r="D505" s="3">
        <f>-1.538462*B505+2006.153846</f>
        <v>1966.9999880999999</v>
      </c>
      <c r="E505" s="1">
        <v>292.50819999999999</v>
      </c>
      <c r="F505" s="1">
        <v>7.4161000000000001</v>
      </c>
      <c r="G505" s="1">
        <v>23.906199999999998</v>
      </c>
      <c r="H505" s="1">
        <v>26.8764</v>
      </c>
      <c r="I505" s="1">
        <v>316.29239999999999</v>
      </c>
      <c r="J505" s="1">
        <f t="shared" si="49"/>
        <v>305.1770884</v>
      </c>
      <c r="K505" s="1">
        <v>2.4864300000000128</v>
      </c>
      <c r="L505" s="1">
        <f t="shared" si="50"/>
        <v>121.06039752808988</v>
      </c>
      <c r="M505" s="1">
        <v>-239.84700000000001</v>
      </c>
      <c r="N505" s="1">
        <v>-30.199639999999999</v>
      </c>
    </row>
    <row r="506" spans="1:14" x14ac:dyDescent="0.4">
      <c r="B506" s="1">
        <v>25.5</v>
      </c>
      <c r="C506" s="1" t="s">
        <v>517</v>
      </c>
      <c r="D506" s="3">
        <f t="shared" ref="D506:D517" si="55">-1.538462*B506+2006.153846</f>
        <v>1966.923065</v>
      </c>
      <c r="E506" s="1">
        <v>20.361000000000001</v>
      </c>
      <c r="F506" s="1">
        <v>7.2015000000000002</v>
      </c>
      <c r="G506" s="1">
        <v>2.1494</v>
      </c>
      <c r="H506" s="1">
        <v>3.8128000000000002</v>
      </c>
      <c r="I506" s="1">
        <v>28.976299999999998</v>
      </c>
      <c r="J506" s="1">
        <f t="shared" si="49"/>
        <v>28.202582</v>
      </c>
      <c r="K506" s="1">
        <v>2.4715199999999982</v>
      </c>
      <c r="L506" s="1">
        <f t="shared" si="50"/>
        <v>4.5168528089887658</v>
      </c>
      <c r="M506" s="1">
        <v>-236.96867</v>
      </c>
      <c r="N506" s="1">
        <v>-28.48565</v>
      </c>
    </row>
    <row r="507" spans="1:14" x14ac:dyDescent="0.4">
      <c r="B507" s="1">
        <v>25.55</v>
      </c>
      <c r="C507" s="1" t="s">
        <v>518</v>
      </c>
      <c r="D507" s="3">
        <f t="shared" si="55"/>
        <v>1966.8461419</v>
      </c>
      <c r="E507" s="1">
        <v>28.745100000000001</v>
      </c>
      <c r="F507" s="1">
        <v>31.851099999999999</v>
      </c>
      <c r="G507" s="1">
        <v>14.100899999999999</v>
      </c>
      <c r="H507" s="1">
        <v>3.8391000000000002</v>
      </c>
      <c r="I507" s="1">
        <v>165.8151</v>
      </c>
      <c r="J507" s="1">
        <f t="shared" si="49"/>
        <v>164.7227862</v>
      </c>
      <c r="K507" s="1">
        <v>1.5747899999999788</v>
      </c>
      <c r="L507" s="1">
        <f t="shared" si="50"/>
        <v>-63.7957911235955</v>
      </c>
      <c r="M507" s="1">
        <v>-232.80280999999999</v>
      </c>
      <c r="N507" s="1">
        <v>-29.318010000000001</v>
      </c>
    </row>
    <row r="508" spans="1:14" x14ac:dyDescent="0.4">
      <c r="B508" s="1">
        <v>25.6</v>
      </c>
      <c r="C508" s="1" t="s">
        <v>519</v>
      </c>
      <c r="D508" s="3">
        <f t="shared" si="55"/>
        <v>1966.7692187999999</v>
      </c>
      <c r="E508" s="1">
        <v>12.620799999999999</v>
      </c>
      <c r="F508" s="1">
        <v>9.6053999999999995</v>
      </c>
      <c r="G508" s="1">
        <v>3.4308999999999998</v>
      </c>
      <c r="H508" s="1">
        <v>1.9398</v>
      </c>
      <c r="I508" s="1">
        <v>41.035299999999999</v>
      </c>
      <c r="J508" s="1">
        <f t="shared" si="49"/>
        <v>40.5557096</v>
      </c>
      <c r="K508" s="1">
        <v>1.7501199999999812</v>
      </c>
      <c r="L508" s="1">
        <f t="shared" si="50"/>
        <v>-10.163306516853932</v>
      </c>
      <c r="M508" s="1">
        <v>-236.08600999999999</v>
      </c>
      <c r="N508" s="1">
        <v>-29.724070000000001</v>
      </c>
    </row>
    <row r="509" spans="1:14" x14ac:dyDescent="0.4">
      <c r="B509" s="1">
        <v>25.65</v>
      </c>
      <c r="C509" s="1" t="s">
        <v>520</v>
      </c>
      <c r="D509" s="3">
        <f t="shared" si="55"/>
        <v>1966.6922956999999</v>
      </c>
      <c r="E509" s="1">
        <v>141.40110000000001</v>
      </c>
      <c r="F509" s="1">
        <v>22.281199999999998</v>
      </c>
      <c r="G509" s="1">
        <v>34.950299999999999</v>
      </c>
      <c r="H509" s="1">
        <v>16.7438</v>
      </c>
      <c r="I509" s="1">
        <v>656.70360000000005</v>
      </c>
      <c r="J509" s="1">
        <f t="shared" si="49"/>
        <v>651.33035820000009</v>
      </c>
      <c r="K509" s="1">
        <v>-9.0834700000000055</v>
      </c>
      <c r="L509" s="1">
        <f t="shared" si="50"/>
        <v>-224.51483157303372</v>
      </c>
      <c r="M509" s="1">
        <v>-248.52991</v>
      </c>
      <c r="N509" s="1">
        <v>-31.315930000000002</v>
      </c>
    </row>
    <row r="510" spans="1:14" x14ac:dyDescent="0.4">
      <c r="B510" s="1">
        <v>25.7</v>
      </c>
      <c r="C510" s="1" t="s">
        <v>521</v>
      </c>
      <c r="D510" s="3">
        <f t="shared" si="55"/>
        <v>1966.6153726</v>
      </c>
      <c r="E510" s="1">
        <v>63.469299999999997</v>
      </c>
      <c r="F510" s="1">
        <v>11.115399999999999</v>
      </c>
      <c r="G510" s="1">
        <v>28.9895</v>
      </c>
      <c r="H510" s="1">
        <v>6.8324999999999996</v>
      </c>
      <c r="I510" s="1">
        <v>72.879300000000001</v>
      </c>
      <c r="J510" s="1">
        <f t="shared" si="49"/>
        <v>70.467466599999995</v>
      </c>
      <c r="K510" s="1">
        <v>1.7412700000000143</v>
      </c>
      <c r="L510" s="1">
        <f t="shared" si="50"/>
        <v>23.880835617977532</v>
      </c>
      <c r="M510" s="1">
        <v>-271.73500999999999</v>
      </c>
      <c r="N510" s="1">
        <v>-33.769190000000002</v>
      </c>
    </row>
    <row r="511" spans="1:14" x14ac:dyDescent="0.4">
      <c r="B511" s="1">
        <v>25.75</v>
      </c>
      <c r="C511" s="1" t="s">
        <v>522</v>
      </c>
      <c r="D511" s="3">
        <f t="shared" si="55"/>
        <v>1966.5384494999998</v>
      </c>
      <c r="E511" s="1">
        <v>315.57159999999999</v>
      </c>
      <c r="F511" s="1">
        <v>27.773099999999999</v>
      </c>
      <c r="G511" s="1">
        <v>229.37610000000001</v>
      </c>
      <c r="H511" s="1">
        <v>23.847300000000001</v>
      </c>
      <c r="I511" s="1">
        <v>523.86749999999995</v>
      </c>
      <c r="J511" s="1">
        <f t="shared" si="49"/>
        <v>511.87577919999995</v>
      </c>
      <c r="K511" s="1">
        <v>1.7065500000000213</v>
      </c>
      <c r="L511" s="1">
        <f t="shared" si="50"/>
        <v>28.000937528089935</v>
      </c>
      <c r="M511" s="1">
        <v>-289.47492</v>
      </c>
      <c r="N511" s="1">
        <v>-36.127800000000001</v>
      </c>
    </row>
    <row r="512" spans="1:14" x14ac:dyDescent="0.4">
      <c r="B512" s="1">
        <v>25.8</v>
      </c>
      <c r="C512" s="1" t="s">
        <v>523</v>
      </c>
      <c r="D512" s="3">
        <f t="shared" si="55"/>
        <v>1966.4615263999999</v>
      </c>
      <c r="E512" s="1">
        <v>51.482399999999998</v>
      </c>
      <c r="F512" s="1">
        <v>6.8407</v>
      </c>
      <c r="G512" s="1">
        <v>3.5428000000000002</v>
      </c>
      <c r="H512" s="1">
        <v>7.1910999999999996</v>
      </c>
      <c r="I512" s="1">
        <v>47.608199999999997</v>
      </c>
      <c r="J512" s="1">
        <f t="shared" si="49"/>
        <v>45.651868799999995</v>
      </c>
      <c r="K512" s="1">
        <v>1.9975300000000118</v>
      </c>
      <c r="L512" s="1">
        <f t="shared" si="50"/>
        <v>25.835282696629214</v>
      </c>
      <c r="M512" s="1">
        <v>-293.01652999999999</v>
      </c>
      <c r="N512" s="1">
        <v>-36.743400000000001</v>
      </c>
    </row>
    <row r="513" spans="1:14" x14ac:dyDescent="0.4">
      <c r="B513" s="1">
        <v>25.85</v>
      </c>
      <c r="C513" s="1" t="s">
        <v>524</v>
      </c>
      <c r="D513" s="3">
        <f t="shared" si="55"/>
        <v>1966.3846033</v>
      </c>
      <c r="E513" s="1">
        <v>104.2409</v>
      </c>
      <c r="F513" s="1">
        <v>45</v>
      </c>
      <c r="G513" s="1">
        <v>24.117100000000001</v>
      </c>
      <c r="H513" s="1">
        <v>13.3507</v>
      </c>
      <c r="I513" s="1">
        <v>307.8107</v>
      </c>
      <c r="J513" s="1">
        <f t="shared" si="49"/>
        <v>303.84954579999999</v>
      </c>
      <c r="K513" s="1">
        <v>-1.5814899999999739</v>
      </c>
      <c r="L513" s="1">
        <f t="shared" si="50"/>
        <v>-66.461092022471902</v>
      </c>
      <c r="M513" s="1">
        <v>-285.12527</v>
      </c>
      <c r="N513" s="1">
        <v>-36.024839999999998</v>
      </c>
    </row>
    <row r="514" spans="1:14" x14ac:dyDescent="0.4">
      <c r="B514" s="1">
        <v>25.9</v>
      </c>
      <c r="C514" s="1" t="s">
        <v>525</v>
      </c>
      <c r="D514" s="3">
        <f t="shared" si="55"/>
        <v>1966.3076802</v>
      </c>
      <c r="E514" s="1">
        <v>35.875700000000002</v>
      </c>
      <c r="F514" s="1">
        <v>2.7568000000000001</v>
      </c>
      <c r="G514" s="1">
        <v>5.4809000000000001</v>
      </c>
      <c r="H514" s="1">
        <v>5.1055999999999999</v>
      </c>
      <c r="I514" s="1">
        <v>41.116</v>
      </c>
      <c r="J514" s="1">
        <f t="shared" si="49"/>
        <v>39.752723400000001</v>
      </c>
      <c r="K514" s="1">
        <v>-0.45251999999999271</v>
      </c>
      <c r="L514" s="1">
        <f t="shared" si="50"/>
        <v>13.542709325842697</v>
      </c>
      <c r="M514" s="1">
        <v>-272.52217000000002</v>
      </c>
      <c r="N514" s="1">
        <v>-34.678289999999997</v>
      </c>
    </row>
    <row r="515" spans="1:14" x14ac:dyDescent="0.4">
      <c r="B515" s="1">
        <v>25.95</v>
      </c>
      <c r="C515" s="1" t="s">
        <v>526</v>
      </c>
      <c r="D515" s="3">
        <f t="shared" si="55"/>
        <v>1966.2307570999999</v>
      </c>
      <c r="E515" s="1">
        <v>57.271700000000003</v>
      </c>
      <c r="F515" s="1">
        <v>59.429699999999997</v>
      </c>
      <c r="G515" s="1">
        <v>14.028600000000001</v>
      </c>
      <c r="H515" s="1">
        <v>7.2584</v>
      </c>
      <c r="I515" s="1">
        <v>456.61959999999999</v>
      </c>
      <c r="J515" s="1">
        <f t="shared" ref="J515:J578" si="56">I515-0.038*E515</f>
        <v>454.4432754</v>
      </c>
      <c r="K515" s="1">
        <v>0.93067000000002054</v>
      </c>
      <c r="L515" s="1">
        <f t="shared" ref="L515:L578" si="57">E515-(J515/1.78)</f>
        <v>-198.03351089887639</v>
      </c>
      <c r="M515" s="1">
        <v>-265.08503000000002</v>
      </c>
      <c r="N515" s="1">
        <v>-33.738770000000002</v>
      </c>
    </row>
    <row r="516" spans="1:14" x14ac:dyDescent="0.4">
      <c r="B516" s="1">
        <v>26</v>
      </c>
      <c r="C516" s="1" t="s">
        <v>527</v>
      </c>
      <c r="D516" s="3">
        <f t="shared" si="55"/>
        <v>1966.153834</v>
      </c>
      <c r="E516" s="1">
        <v>38.737000000000002</v>
      </c>
      <c r="F516" s="1">
        <v>19.5382</v>
      </c>
      <c r="G516" s="1">
        <v>6.7343000000000002</v>
      </c>
      <c r="H516" s="1">
        <v>3.7681</v>
      </c>
      <c r="I516" s="1">
        <v>40.245600000000003</v>
      </c>
      <c r="J516" s="1">
        <f t="shared" si="56"/>
        <v>38.773594000000003</v>
      </c>
      <c r="K516" s="1">
        <v>3.0734499999999798</v>
      </c>
      <c r="L516" s="1">
        <f t="shared" si="57"/>
        <v>16.954082022471912</v>
      </c>
      <c r="M516" s="1">
        <v>-259.57283999999999</v>
      </c>
      <c r="N516" s="1">
        <v>-33.226930000000003</v>
      </c>
    </row>
    <row r="517" spans="1:14" x14ac:dyDescent="0.4">
      <c r="B517" s="1">
        <v>26.05</v>
      </c>
      <c r="C517" s="1" t="s">
        <v>528</v>
      </c>
      <c r="D517" s="3">
        <f t="shared" si="55"/>
        <v>1966.0769109</v>
      </c>
      <c r="E517" s="1">
        <v>178.99019999999999</v>
      </c>
      <c r="F517" s="1">
        <v>47.265700000000002</v>
      </c>
      <c r="G517" s="1">
        <v>24.494</v>
      </c>
      <c r="H517" s="1">
        <v>25.555599999999998</v>
      </c>
      <c r="I517" s="1">
        <v>383.45319999999998</v>
      </c>
      <c r="J517" s="1">
        <f t="shared" si="56"/>
        <v>376.65157239999996</v>
      </c>
      <c r="K517" s="1">
        <v>4.9041499999999587</v>
      </c>
      <c r="L517" s="1">
        <f t="shared" si="57"/>
        <v>-32.611806966292136</v>
      </c>
      <c r="M517" s="1">
        <v>-255.82915</v>
      </c>
      <c r="N517" s="1">
        <v>-32.512779999999999</v>
      </c>
    </row>
    <row r="518" spans="1:14" x14ac:dyDescent="0.4">
      <c r="A518" s="1">
        <v>1966</v>
      </c>
      <c r="B518" s="1">
        <v>26.1</v>
      </c>
      <c r="C518" s="1" t="s">
        <v>529</v>
      </c>
      <c r="D518" s="3">
        <f>-2.857143*B518+2040.571429</f>
        <v>1965.9999967000001</v>
      </c>
      <c r="E518" s="1">
        <v>56.9756</v>
      </c>
      <c r="F518" s="1">
        <v>21.769200000000001</v>
      </c>
      <c r="G518" s="1">
        <v>7.0347</v>
      </c>
      <c r="H518" s="1">
        <v>11.5413</v>
      </c>
      <c r="I518" s="1">
        <v>56.9724</v>
      </c>
      <c r="J518" s="1">
        <f t="shared" si="56"/>
        <v>54.807327200000003</v>
      </c>
      <c r="K518" s="1">
        <v>4.8251300000000015</v>
      </c>
      <c r="L518" s="1">
        <f t="shared" si="57"/>
        <v>26.184966741573032</v>
      </c>
      <c r="M518" s="1">
        <v>-248.94726</v>
      </c>
      <c r="N518" s="1">
        <v>-31.718209999999999</v>
      </c>
    </row>
    <row r="519" spans="1:14" x14ac:dyDescent="0.4">
      <c r="B519" s="1">
        <v>26.15</v>
      </c>
      <c r="C519" s="1" t="s">
        <v>530</v>
      </c>
      <c r="D519" s="3">
        <f t="shared" ref="D519:D524" si="58">-2.857143*B519+2040.571429</f>
        <v>1965.8571395500001</v>
      </c>
      <c r="E519" s="1">
        <v>22.883800000000001</v>
      </c>
      <c r="F519" s="1">
        <v>21.0503</v>
      </c>
      <c r="G519" s="1">
        <v>15.0258</v>
      </c>
      <c r="H519" s="1">
        <v>4.2206000000000001</v>
      </c>
      <c r="I519" s="1">
        <v>148.02789999999999</v>
      </c>
      <c r="J519" s="1">
        <f t="shared" si="56"/>
        <v>147.15831559999998</v>
      </c>
      <c r="K519" s="1">
        <v>6.2426000000000386</v>
      </c>
      <c r="L519" s="1">
        <f t="shared" si="57"/>
        <v>-59.789411011235948</v>
      </c>
      <c r="M519" s="1">
        <v>-247.10334</v>
      </c>
      <c r="N519" s="1">
        <v>-31.539840000000002</v>
      </c>
    </row>
    <row r="520" spans="1:14" x14ac:dyDescent="0.4">
      <c r="B520" s="1">
        <v>26.2</v>
      </c>
      <c r="C520" s="1" t="s">
        <v>531</v>
      </c>
      <c r="D520" s="3">
        <f t="shared" si="58"/>
        <v>1965.7142824</v>
      </c>
      <c r="E520" s="1">
        <v>93.07</v>
      </c>
      <c r="F520" s="1">
        <v>10.9032</v>
      </c>
      <c r="G520" s="1">
        <v>5.8331</v>
      </c>
      <c r="H520" s="1">
        <v>11.3012</v>
      </c>
      <c r="I520" s="1">
        <v>31.338899999999999</v>
      </c>
      <c r="J520" s="1">
        <f t="shared" si="56"/>
        <v>27.802239999999998</v>
      </c>
      <c r="K520" s="1">
        <v>4.2730899999999963</v>
      </c>
      <c r="L520" s="1">
        <f t="shared" si="57"/>
        <v>77.45076404494381</v>
      </c>
      <c r="M520" s="1">
        <v>-253.97425999999999</v>
      </c>
      <c r="N520" s="1">
        <v>-32.203049999999998</v>
      </c>
    </row>
    <row r="521" spans="1:14" x14ac:dyDescent="0.4">
      <c r="B521" s="1">
        <v>26.25</v>
      </c>
      <c r="C521" s="1" t="s">
        <v>532</v>
      </c>
      <c r="D521" s="3">
        <f t="shared" si="58"/>
        <v>1965.5714252500002</v>
      </c>
      <c r="E521" s="1">
        <v>318.78699999999998</v>
      </c>
      <c r="F521" s="1">
        <v>13.662000000000001</v>
      </c>
      <c r="G521" s="1">
        <v>25.729500000000002</v>
      </c>
      <c r="H521" s="1">
        <v>40.963299999999997</v>
      </c>
      <c r="I521" s="1">
        <v>232.7045</v>
      </c>
      <c r="J521" s="1">
        <f t="shared" si="56"/>
        <v>220.59059400000001</v>
      </c>
      <c r="K521" s="1">
        <v>4.798419999999993</v>
      </c>
      <c r="L521" s="1">
        <f t="shared" si="57"/>
        <v>194.85969999999998</v>
      </c>
      <c r="M521" s="1">
        <v>-260.60712999999998</v>
      </c>
      <c r="N521" s="1">
        <v>-32.981360000000002</v>
      </c>
    </row>
    <row r="522" spans="1:14" x14ac:dyDescent="0.4">
      <c r="B522" s="1">
        <v>26.3</v>
      </c>
      <c r="C522" s="1" t="s">
        <v>533</v>
      </c>
      <c r="D522" s="3">
        <f t="shared" si="58"/>
        <v>1965.4285681000001</v>
      </c>
      <c r="E522" s="1">
        <v>99.739500000000007</v>
      </c>
      <c r="F522" s="1">
        <v>15.985900000000001</v>
      </c>
      <c r="G522" s="1">
        <v>5.0675999999999997</v>
      </c>
      <c r="H522" s="1">
        <v>13.6052</v>
      </c>
      <c r="I522" s="1">
        <v>35.944899999999997</v>
      </c>
      <c r="J522" s="1">
        <f t="shared" si="56"/>
        <v>32.154798999999997</v>
      </c>
      <c r="K522" s="1">
        <v>5.2153800000000103</v>
      </c>
      <c r="L522" s="1">
        <f t="shared" si="57"/>
        <v>81.675006179775295</v>
      </c>
      <c r="M522" s="1">
        <v>-263.60645</v>
      </c>
      <c r="N522" s="1">
        <v>-33.076070000000001</v>
      </c>
    </row>
    <row r="523" spans="1:14" x14ac:dyDescent="0.4">
      <c r="B523" s="1">
        <v>26.35</v>
      </c>
      <c r="C523" s="1" t="s">
        <v>534</v>
      </c>
      <c r="D523" s="3">
        <f t="shared" si="58"/>
        <v>1965.2857109500001</v>
      </c>
      <c r="E523" s="1">
        <v>159.59190000000001</v>
      </c>
      <c r="F523" s="1">
        <v>110.7771</v>
      </c>
      <c r="G523" s="1">
        <v>16.077400000000001</v>
      </c>
      <c r="H523" s="1">
        <v>22.780999999999999</v>
      </c>
      <c r="I523" s="1">
        <v>166.9838</v>
      </c>
      <c r="J523" s="1">
        <f t="shared" si="56"/>
        <v>160.91930780000001</v>
      </c>
      <c r="K523" s="1">
        <v>3.6501399999999933</v>
      </c>
      <c r="L523" s="1">
        <f t="shared" si="57"/>
        <v>69.187794494382032</v>
      </c>
      <c r="M523" s="1">
        <v>-253.82098999999999</v>
      </c>
      <c r="N523" s="1">
        <v>-32.103679999999997</v>
      </c>
    </row>
    <row r="524" spans="1:14" x14ac:dyDescent="0.4">
      <c r="B524" s="1">
        <v>26.4</v>
      </c>
      <c r="C524" s="1" t="s">
        <v>535</v>
      </c>
      <c r="D524" s="3">
        <f t="shared" si="58"/>
        <v>1965.1428538</v>
      </c>
      <c r="E524" s="1">
        <v>26.396999999999998</v>
      </c>
      <c r="F524" s="1">
        <v>24.400500000000001</v>
      </c>
      <c r="G524" s="1">
        <v>3.004</v>
      </c>
      <c r="H524" s="1">
        <v>3.0855000000000001</v>
      </c>
      <c r="I524" s="1">
        <v>52.901699999999998</v>
      </c>
      <c r="J524" s="1">
        <f t="shared" si="56"/>
        <v>51.898613999999995</v>
      </c>
      <c r="K524" s="1">
        <v>3.2437500000000341</v>
      </c>
      <c r="L524" s="1">
        <f t="shared" si="57"/>
        <v>-2.7595247191011225</v>
      </c>
      <c r="M524" s="1">
        <v>-243.24421000000001</v>
      </c>
      <c r="N524" s="1">
        <v>-30.786169999999998</v>
      </c>
    </row>
    <row r="525" spans="1:14" x14ac:dyDescent="0.4">
      <c r="A525" s="1">
        <v>1965</v>
      </c>
      <c r="B525" s="1">
        <v>26.45</v>
      </c>
      <c r="C525" s="1" t="s">
        <v>536</v>
      </c>
      <c r="D525" s="3">
        <f>-2*B525+2017.9</f>
        <v>1965</v>
      </c>
      <c r="E525" s="1">
        <v>39.064399999999999</v>
      </c>
      <c r="F525" s="1">
        <v>19.062200000000001</v>
      </c>
      <c r="G525" s="1">
        <v>7.4210000000000003</v>
      </c>
      <c r="H525" s="1">
        <v>4.9286000000000003</v>
      </c>
      <c r="I525" s="1">
        <v>139.51240000000001</v>
      </c>
      <c r="J525" s="1">
        <f t="shared" si="56"/>
        <v>138.02795280000001</v>
      </c>
      <c r="K525" s="1">
        <v>1.002110000000016</v>
      </c>
      <c r="L525" s="1">
        <f t="shared" si="57"/>
        <v>-38.479393707865178</v>
      </c>
      <c r="M525" s="1">
        <v>-231.33977999999999</v>
      </c>
      <c r="N525" s="1">
        <v>-29.421769999999999</v>
      </c>
    </row>
    <row r="526" spans="1:14" x14ac:dyDescent="0.4">
      <c r="B526" s="1">
        <v>26.5</v>
      </c>
      <c r="C526" s="1" t="s">
        <v>537</v>
      </c>
      <c r="D526" s="3">
        <f t="shared" ref="D526:D533" si="59">-2*B526+2017.9</f>
        <v>1964.9</v>
      </c>
      <c r="E526" s="1">
        <v>147.88740000000001</v>
      </c>
      <c r="F526" s="1">
        <v>55.2027</v>
      </c>
      <c r="G526" s="1">
        <v>29.741900000000001</v>
      </c>
      <c r="H526" s="1">
        <v>16.2439</v>
      </c>
      <c r="I526" s="1">
        <v>71.4024</v>
      </c>
      <c r="J526" s="1">
        <f t="shared" si="56"/>
        <v>65.782678799999999</v>
      </c>
      <c r="K526" s="1">
        <v>3.0084499999999821</v>
      </c>
      <c r="L526" s="1">
        <f t="shared" si="57"/>
        <v>110.93083887640451</v>
      </c>
      <c r="M526" s="1">
        <v>-225.30356</v>
      </c>
      <c r="N526" s="1">
        <v>-28.797640000000001</v>
      </c>
    </row>
    <row r="527" spans="1:14" x14ac:dyDescent="0.4">
      <c r="B527" s="1">
        <v>26.6</v>
      </c>
      <c r="C527" s="1" t="s">
        <v>538</v>
      </c>
      <c r="D527" s="3">
        <f t="shared" si="59"/>
        <v>1964.7</v>
      </c>
      <c r="E527" s="1">
        <v>16.6999</v>
      </c>
      <c r="F527" s="1">
        <v>16.418700000000001</v>
      </c>
      <c r="G527" s="1">
        <v>3.6854</v>
      </c>
      <c r="H527" s="1">
        <v>3.9156</v>
      </c>
      <c r="I527" s="1">
        <v>41.802300000000002</v>
      </c>
      <c r="J527" s="1">
        <f t="shared" si="56"/>
        <v>41.167703800000005</v>
      </c>
      <c r="K527" s="1">
        <v>3.0451499999999783</v>
      </c>
      <c r="L527" s="1">
        <f t="shared" si="57"/>
        <v>-6.4280234831460703</v>
      </c>
      <c r="M527" s="1">
        <v>-227.71800999999999</v>
      </c>
      <c r="N527" s="1">
        <v>-29.123760000000001</v>
      </c>
    </row>
    <row r="528" spans="1:14" x14ac:dyDescent="0.4">
      <c r="B528" s="1">
        <v>26.65</v>
      </c>
      <c r="C528" s="1" t="s">
        <v>539</v>
      </c>
      <c r="D528" s="3">
        <f t="shared" si="59"/>
        <v>1964.6000000000001</v>
      </c>
      <c r="E528" s="1">
        <v>353.51799999999997</v>
      </c>
      <c r="F528" s="1">
        <v>51.970100000000002</v>
      </c>
      <c r="G528" s="1">
        <v>57.845999999999997</v>
      </c>
      <c r="H528" s="1">
        <v>39.813499999999998</v>
      </c>
      <c r="I528" s="1">
        <v>165.4718</v>
      </c>
      <c r="J528" s="1">
        <f t="shared" si="56"/>
        <v>152.038116</v>
      </c>
      <c r="K528" s="1">
        <v>4.0343799999999987</v>
      </c>
      <c r="L528" s="1">
        <f t="shared" si="57"/>
        <v>268.10332808988761</v>
      </c>
      <c r="M528" s="1">
        <v>-236.67525000000001</v>
      </c>
      <c r="N528" s="1">
        <v>-29.99541</v>
      </c>
    </row>
    <row r="529" spans="1:14" x14ac:dyDescent="0.4">
      <c r="B529" s="1">
        <v>26.7</v>
      </c>
      <c r="C529" s="1" t="s">
        <v>540</v>
      </c>
      <c r="D529" s="3">
        <f t="shared" si="59"/>
        <v>1964.5</v>
      </c>
      <c r="E529" s="1">
        <v>197.58959999999999</v>
      </c>
      <c r="F529" s="1">
        <v>44.803100000000001</v>
      </c>
      <c r="G529" s="1">
        <v>13.641400000000001</v>
      </c>
      <c r="H529" s="1">
        <v>18.641300000000001</v>
      </c>
      <c r="I529" s="1">
        <v>53.337499999999999</v>
      </c>
      <c r="J529" s="1">
        <f t="shared" si="56"/>
        <v>45.829095199999998</v>
      </c>
      <c r="K529" s="1">
        <v>5.0775600000000054</v>
      </c>
      <c r="L529" s="1">
        <f t="shared" si="57"/>
        <v>171.84291730337077</v>
      </c>
      <c r="M529" s="1">
        <v>-246.42565999999999</v>
      </c>
      <c r="N529" s="1">
        <v>-30.945160000000001</v>
      </c>
    </row>
    <row r="530" spans="1:14" x14ac:dyDescent="0.4">
      <c r="B530" s="1">
        <v>26.75</v>
      </c>
      <c r="C530" s="1" t="s">
        <v>541</v>
      </c>
      <c r="D530" s="3">
        <f t="shared" si="59"/>
        <v>1964.4</v>
      </c>
      <c r="E530" s="1">
        <v>348.51170000000002</v>
      </c>
      <c r="F530" s="1">
        <v>8.0092999999999996</v>
      </c>
      <c r="G530" s="1">
        <v>18.2</v>
      </c>
      <c r="H530" s="1">
        <v>50.997199999999999</v>
      </c>
      <c r="I530" s="1">
        <v>181.286</v>
      </c>
      <c r="J530" s="1">
        <f t="shared" si="56"/>
        <v>168.0425554</v>
      </c>
      <c r="K530" s="1">
        <v>5.2720700000000136</v>
      </c>
      <c r="L530" s="1">
        <f t="shared" si="57"/>
        <v>254.10577000000001</v>
      </c>
      <c r="M530" s="1">
        <v>-250.8724</v>
      </c>
      <c r="N530" s="1">
        <v>-31.43496</v>
      </c>
    </row>
    <row r="531" spans="1:14" x14ac:dyDescent="0.4">
      <c r="B531" s="1">
        <v>26.8</v>
      </c>
      <c r="C531" s="1" t="s">
        <v>542</v>
      </c>
      <c r="D531" s="3">
        <f t="shared" si="59"/>
        <v>1964.3000000000002</v>
      </c>
      <c r="E531" s="1">
        <v>8.9228000000000005</v>
      </c>
      <c r="F531" s="1">
        <v>4.9295999999999998</v>
      </c>
      <c r="G531" s="1">
        <v>1.7298</v>
      </c>
      <c r="H531" s="1">
        <v>3.5901999999999998</v>
      </c>
      <c r="I531" s="1">
        <v>34.9011</v>
      </c>
      <c r="J531" s="1">
        <f t="shared" si="56"/>
        <v>34.562033599999999</v>
      </c>
      <c r="K531" s="1">
        <v>3.288029999999992</v>
      </c>
      <c r="L531" s="1">
        <f t="shared" si="57"/>
        <v>-10.494072808988763</v>
      </c>
      <c r="M531" s="1">
        <v>-247.21724</v>
      </c>
      <c r="N531" s="1">
        <v>-31.255199999999999</v>
      </c>
    </row>
    <row r="532" spans="1:14" x14ac:dyDescent="0.4">
      <c r="B532" s="1">
        <v>26.85</v>
      </c>
      <c r="C532" s="1" t="s">
        <v>543</v>
      </c>
      <c r="D532" s="3">
        <f t="shared" si="59"/>
        <v>1964.2</v>
      </c>
      <c r="E532" s="1">
        <v>15.071999999999999</v>
      </c>
      <c r="F532" s="1">
        <v>66.577799999999996</v>
      </c>
      <c r="G532" s="1">
        <v>9.1102000000000007</v>
      </c>
      <c r="H532" s="1">
        <v>1.9883</v>
      </c>
      <c r="I532" s="1">
        <v>203.31280000000001</v>
      </c>
      <c r="J532" s="1">
        <f t="shared" si="56"/>
        <v>202.74006400000002</v>
      </c>
      <c r="K532" s="1">
        <v>1.1356200000000172</v>
      </c>
      <c r="L532" s="1">
        <f t="shared" si="57"/>
        <v>-98.826912359550562</v>
      </c>
      <c r="M532" s="1">
        <v>-237.12733</v>
      </c>
      <c r="N532" s="1">
        <v>-29.956720000000001</v>
      </c>
    </row>
    <row r="533" spans="1:14" x14ac:dyDescent="0.4">
      <c r="B533" s="1">
        <v>26.9</v>
      </c>
      <c r="C533" s="1" t="s">
        <v>544</v>
      </c>
      <c r="D533" s="3">
        <f t="shared" si="59"/>
        <v>1964.1000000000001</v>
      </c>
      <c r="E533" s="1">
        <v>12.6502</v>
      </c>
      <c r="F533" s="1">
        <v>14.7372</v>
      </c>
      <c r="G533" s="1">
        <v>1.6425000000000001</v>
      </c>
      <c r="H533" s="1">
        <v>1.9435</v>
      </c>
      <c r="I533" s="1">
        <v>35.203299999999999</v>
      </c>
      <c r="J533" s="1">
        <f t="shared" si="56"/>
        <v>34.722592399999996</v>
      </c>
      <c r="K533" s="1">
        <v>0.60728000000000293</v>
      </c>
      <c r="L533" s="1">
        <f t="shared" si="57"/>
        <v>-6.85687438202247</v>
      </c>
      <c r="M533" s="1">
        <v>-229.03337999999999</v>
      </c>
      <c r="N533" s="1">
        <v>-29.13476</v>
      </c>
    </row>
    <row r="534" spans="1:14" x14ac:dyDescent="0.4">
      <c r="A534" s="1">
        <v>1964</v>
      </c>
      <c r="B534" s="1">
        <v>26.95</v>
      </c>
      <c r="C534" s="1" t="s">
        <v>545</v>
      </c>
      <c r="D534" s="3">
        <f>-1.538462*B534+2005.461538</f>
        <v>1963.9999871</v>
      </c>
      <c r="E534" s="1">
        <v>52.658700000000003</v>
      </c>
      <c r="F534" s="1">
        <v>24.103400000000001</v>
      </c>
      <c r="G534" s="1">
        <v>14.4322</v>
      </c>
      <c r="H534" s="1">
        <v>6.1646000000000001</v>
      </c>
      <c r="I534" s="1">
        <v>136.38159999999999</v>
      </c>
      <c r="J534" s="1">
        <f t="shared" si="56"/>
        <v>134.38056939999998</v>
      </c>
      <c r="K534" s="1">
        <v>2.8243599999999844</v>
      </c>
      <c r="L534" s="1">
        <f t="shared" si="57"/>
        <v>-22.836001910112351</v>
      </c>
      <c r="M534" s="1">
        <v>-223.41748999999999</v>
      </c>
      <c r="N534" s="1">
        <v>-28.350020000000001</v>
      </c>
    </row>
    <row r="535" spans="1:14" x14ac:dyDescent="0.4">
      <c r="B535" s="1">
        <v>27</v>
      </c>
      <c r="C535" s="1" t="s">
        <v>546</v>
      </c>
      <c r="D535" s="3">
        <f t="shared" ref="D535:D546" si="60">-1.538462*B535+2005.461538</f>
        <v>1963.9230640000001</v>
      </c>
      <c r="E535" s="1">
        <v>19.3949</v>
      </c>
      <c r="F535" s="1">
        <v>11.735099999999999</v>
      </c>
      <c r="G535" s="1">
        <v>2.4472</v>
      </c>
      <c r="H535" s="1">
        <v>2.7326000000000001</v>
      </c>
      <c r="I535" s="1">
        <v>40.0473</v>
      </c>
      <c r="J535" s="1">
        <f t="shared" si="56"/>
        <v>39.310293799999997</v>
      </c>
      <c r="K535" s="1">
        <v>2.5264300000000048</v>
      </c>
      <c r="L535" s="1">
        <f t="shared" si="57"/>
        <v>-2.6895347191011219</v>
      </c>
      <c r="M535" s="1">
        <v>-219.15433999999999</v>
      </c>
      <c r="N535" s="1">
        <v>-27.761099999999999</v>
      </c>
    </row>
    <row r="536" spans="1:14" x14ac:dyDescent="0.4">
      <c r="B536" s="1">
        <v>27.05</v>
      </c>
      <c r="C536" s="1" t="s">
        <v>547</v>
      </c>
      <c r="D536" s="3">
        <f t="shared" si="60"/>
        <v>1963.8461408999999</v>
      </c>
      <c r="E536" s="1">
        <v>26.290299999999998</v>
      </c>
      <c r="F536" s="1">
        <v>82.707300000000004</v>
      </c>
      <c r="G536" s="1">
        <v>8.3859999999999992</v>
      </c>
      <c r="H536" s="1">
        <v>5.2168000000000001</v>
      </c>
      <c r="I536" s="1">
        <v>169.95519999999999</v>
      </c>
      <c r="J536" s="1">
        <f t="shared" si="56"/>
        <v>168.95616859999998</v>
      </c>
      <c r="K536" s="1">
        <v>4.044700000000006</v>
      </c>
      <c r="L536" s="1">
        <f t="shared" si="57"/>
        <v>-68.628895842696622</v>
      </c>
      <c r="M536" s="1">
        <v>-218.7345</v>
      </c>
      <c r="N536" s="1">
        <v>-27.56889</v>
      </c>
    </row>
    <row r="537" spans="1:14" x14ac:dyDescent="0.4">
      <c r="B537" s="1">
        <v>27.1</v>
      </c>
      <c r="C537" s="1" t="s">
        <v>548</v>
      </c>
      <c r="D537" s="3">
        <f t="shared" si="60"/>
        <v>1963.7692178</v>
      </c>
      <c r="E537" s="1">
        <v>10.0205</v>
      </c>
      <c r="F537" s="1">
        <v>17.3673</v>
      </c>
      <c r="G537" s="1">
        <v>2.0556000000000001</v>
      </c>
      <c r="H537" s="1">
        <v>1.6169</v>
      </c>
      <c r="I537" s="1">
        <v>25.748000000000001</v>
      </c>
      <c r="J537" s="1">
        <f t="shared" si="56"/>
        <v>25.367221000000001</v>
      </c>
      <c r="K537" s="1">
        <v>3.3826700000000187</v>
      </c>
      <c r="L537" s="1">
        <f t="shared" si="57"/>
        <v>-4.2307477528089894</v>
      </c>
      <c r="M537" s="1">
        <v>-220.27516</v>
      </c>
      <c r="N537" s="1">
        <v>-27.62322</v>
      </c>
    </row>
    <row r="538" spans="1:14" x14ac:dyDescent="0.4">
      <c r="B538" s="1">
        <v>27.15</v>
      </c>
      <c r="C538" s="1" t="s">
        <v>549</v>
      </c>
      <c r="D538" s="3">
        <f t="shared" si="60"/>
        <v>1963.6922947</v>
      </c>
      <c r="E538" s="1">
        <v>32.142299999999999</v>
      </c>
      <c r="F538" s="1">
        <v>63.3797</v>
      </c>
      <c r="G538" s="1">
        <v>11.8241</v>
      </c>
      <c r="H538" s="1">
        <v>5.3872999999999998</v>
      </c>
      <c r="I538" s="1">
        <v>252.3509</v>
      </c>
      <c r="J538" s="1">
        <f t="shared" si="56"/>
        <v>251.12949259999999</v>
      </c>
      <c r="K538" s="1">
        <v>2.9344600000000014</v>
      </c>
      <c r="L538" s="1">
        <f t="shared" si="57"/>
        <v>-108.94168460674155</v>
      </c>
      <c r="M538" s="1">
        <v>-212.85749999999999</v>
      </c>
      <c r="N538" s="1">
        <v>-28.119810000000001</v>
      </c>
    </row>
    <row r="539" spans="1:14" x14ac:dyDescent="0.4">
      <c r="B539" s="1">
        <v>27.2</v>
      </c>
      <c r="C539" s="1" t="s">
        <v>550</v>
      </c>
      <c r="D539" s="3">
        <f t="shared" si="60"/>
        <v>1963.6153716000001</v>
      </c>
      <c r="E539" s="1">
        <v>24.769200000000001</v>
      </c>
      <c r="F539" s="1">
        <v>13.6675</v>
      </c>
      <c r="G539" s="1">
        <v>4.0457999999999998</v>
      </c>
      <c r="H539" s="1">
        <v>2.8458000000000001</v>
      </c>
      <c r="I539" s="1">
        <v>35.704799999999999</v>
      </c>
      <c r="J539" s="1">
        <f t="shared" si="56"/>
        <v>34.763570399999999</v>
      </c>
      <c r="K539" s="1">
        <v>1.8166200000000003</v>
      </c>
      <c r="L539" s="1">
        <f t="shared" si="57"/>
        <v>5.2391042696629242</v>
      </c>
      <c r="M539" s="1">
        <v>-212.56532000000001</v>
      </c>
      <c r="N539" s="1">
        <v>-28.23509</v>
      </c>
    </row>
    <row r="540" spans="1:14" x14ac:dyDescent="0.4">
      <c r="B540" s="1">
        <v>27.25</v>
      </c>
      <c r="C540" s="1" t="s">
        <v>551</v>
      </c>
      <c r="D540" s="3">
        <f t="shared" si="60"/>
        <v>1963.5384485</v>
      </c>
      <c r="E540" s="1">
        <v>66.6006</v>
      </c>
      <c r="F540" s="1">
        <v>18.738199999999999</v>
      </c>
      <c r="G540" s="1">
        <v>18.892399999999999</v>
      </c>
      <c r="H540" s="1">
        <v>9.7678999999999991</v>
      </c>
      <c r="I540" s="1">
        <v>231.71950000000001</v>
      </c>
      <c r="J540" s="1">
        <f t="shared" si="56"/>
        <v>229.1886772</v>
      </c>
      <c r="K540" s="1">
        <v>0.71059999999999945</v>
      </c>
      <c r="L540" s="1">
        <f t="shared" si="57"/>
        <v>-62.157083820224713</v>
      </c>
      <c r="M540" s="1">
        <v>-216.85024000000001</v>
      </c>
      <c r="N540" s="1">
        <v>-28.658049999999999</v>
      </c>
    </row>
    <row r="541" spans="1:14" x14ac:dyDescent="0.4">
      <c r="B541" s="1">
        <v>27.3</v>
      </c>
      <c r="C541" s="1" t="s">
        <v>552</v>
      </c>
      <c r="D541" s="3">
        <f t="shared" si="60"/>
        <v>1963.4615254</v>
      </c>
      <c r="E541" s="1">
        <v>10.792899999999999</v>
      </c>
      <c r="F541" s="1">
        <v>14.2897</v>
      </c>
      <c r="G541" s="1">
        <v>3.1156999999999999</v>
      </c>
      <c r="H541" s="1">
        <v>1.6525000000000001</v>
      </c>
      <c r="I541" s="1">
        <v>33.279400000000003</v>
      </c>
      <c r="J541" s="1">
        <f t="shared" si="56"/>
        <v>32.869269800000005</v>
      </c>
      <c r="K541" s="1">
        <v>12.100980000000021</v>
      </c>
      <c r="L541" s="1">
        <f t="shared" si="57"/>
        <v>-7.6729819101123624</v>
      </c>
      <c r="M541" s="1">
        <v>-214.7277</v>
      </c>
      <c r="N541" s="1">
        <v>-29.774529999999999</v>
      </c>
    </row>
    <row r="542" spans="1:14" x14ac:dyDescent="0.4">
      <c r="B542" s="1">
        <v>27.35</v>
      </c>
      <c r="C542" s="1" t="s">
        <v>553</v>
      </c>
      <c r="D542" s="3">
        <f t="shared" si="60"/>
        <v>1963.3846023000001</v>
      </c>
      <c r="E542" s="1">
        <v>35.947400000000002</v>
      </c>
      <c r="F542" s="1">
        <v>38.272300000000001</v>
      </c>
      <c r="G542" s="1">
        <v>10.039899999999999</v>
      </c>
      <c r="H542" s="1">
        <v>6.1753999999999998</v>
      </c>
      <c r="I542" s="1">
        <v>220.601</v>
      </c>
      <c r="J542" s="1">
        <f t="shared" si="56"/>
        <v>219.2349988</v>
      </c>
      <c r="K542" s="1">
        <v>13.315399999999983</v>
      </c>
      <c r="L542" s="1">
        <f t="shared" si="57"/>
        <v>-87.218329662921349</v>
      </c>
      <c r="M542" s="1">
        <v>-243.20782</v>
      </c>
      <c r="N542" s="1">
        <v>-30.633749999999999</v>
      </c>
    </row>
    <row r="543" spans="1:14" x14ac:dyDescent="0.4">
      <c r="B543" s="1">
        <v>27.4</v>
      </c>
      <c r="C543" s="1" t="s">
        <v>554</v>
      </c>
      <c r="D543" s="3">
        <f t="shared" si="60"/>
        <v>1963.3076791999999</v>
      </c>
      <c r="E543" s="1">
        <v>41.689599999999999</v>
      </c>
      <c r="F543" s="1">
        <v>11.914099999999999</v>
      </c>
      <c r="G543" s="1">
        <v>3.2486000000000002</v>
      </c>
      <c r="H543" s="1">
        <v>7.5320999999999998</v>
      </c>
      <c r="I543" s="1">
        <v>37.761499999999998</v>
      </c>
      <c r="J543" s="1">
        <f t="shared" si="56"/>
        <v>36.177295199999996</v>
      </c>
      <c r="K543" s="1">
        <v>12.414159999999981</v>
      </c>
      <c r="L543" s="1">
        <f t="shared" si="57"/>
        <v>21.365276853932585</v>
      </c>
      <c r="M543" s="1">
        <v>-247.65544</v>
      </c>
      <c r="N543" s="1">
        <v>-31.10614</v>
      </c>
    </row>
    <row r="544" spans="1:14" x14ac:dyDescent="0.4">
      <c r="B544" s="1">
        <v>27.45</v>
      </c>
      <c r="C544" s="1" t="s">
        <v>555</v>
      </c>
      <c r="D544" s="3">
        <f t="shared" si="60"/>
        <v>1963.2307561</v>
      </c>
      <c r="E544" s="1">
        <v>259.80950000000001</v>
      </c>
      <c r="F544" s="1">
        <v>24.738600000000002</v>
      </c>
      <c r="G544" s="1">
        <v>19.491</v>
      </c>
      <c r="H544" s="1">
        <v>27.242899999999999</v>
      </c>
      <c r="I544" s="1">
        <v>250.8862</v>
      </c>
      <c r="J544" s="1">
        <f t="shared" si="56"/>
        <v>241.01343900000001</v>
      </c>
      <c r="K544" s="1">
        <v>23.46853999999999</v>
      </c>
      <c r="L544" s="1">
        <f t="shared" si="57"/>
        <v>124.40869157303371</v>
      </c>
      <c r="M544" s="1">
        <v>-252.56592000000001</v>
      </c>
      <c r="N544" s="1">
        <v>-31.54485</v>
      </c>
    </row>
    <row r="545" spans="1:14" x14ac:dyDescent="0.4">
      <c r="B545" s="1">
        <v>27.5</v>
      </c>
      <c r="C545" s="1" t="s">
        <v>556</v>
      </c>
      <c r="D545" s="3">
        <f t="shared" si="60"/>
        <v>1963.1538330000001</v>
      </c>
      <c r="E545" s="1">
        <v>69.421999999999997</v>
      </c>
      <c r="F545" s="1">
        <v>11.4945</v>
      </c>
      <c r="G545" s="1">
        <v>2.4205999999999999</v>
      </c>
      <c r="H545" s="1">
        <v>7.4676999999999998</v>
      </c>
      <c r="I545" s="1">
        <v>32.903799999999997</v>
      </c>
      <c r="J545" s="1">
        <f t="shared" si="56"/>
        <v>30.265763999999997</v>
      </c>
      <c r="K545" s="1">
        <v>1.8621799999999951</v>
      </c>
      <c r="L545" s="1">
        <f t="shared" si="57"/>
        <v>52.418761797752808</v>
      </c>
      <c r="M545" s="1">
        <v>-246.36254</v>
      </c>
      <c r="N545" s="1">
        <v>-30.78115</v>
      </c>
    </row>
    <row r="546" spans="1:14" x14ac:dyDescent="0.4">
      <c r="B546" s="1">
        <v>27.55</v>
      </c>
      <c r="C546" s="1" t="s">
        <v>557</v>
      </c>
      <c r="D546" s="3">
        <f t="shared" si="60"/>
        <v>1963.0769098999999</v>
      </c>
      <c r="E546" s="1">
        <v>250.64660000000001</v>
      </c>
      <c r="F546" s="1">
        <v>6.5860000000000003</v>
      </c>
      <c r="G546" s="1">
        <v>12.2469</v>
      </c>
      <c r="H546" s="1">
        <v>32.626600000000003</v>
      </c>
      <c r="I546" s="1">
        <v>202.2971</v>
      </c>
      <c r="J546" s="1">
        <f t="shared" si="56"/>
        <v>192.77252920000001</v>
      </c>
      <c r="K546" s="1">
        <v>1.1936800000000005</v>
      </c>
      <c r="L546" s="1">
        <f t="shared" si="57"/>
        <v>142.34742629213486</v>
      </c>
      <c r="M546" s="1">
        <v>-236.49896000000001</v>
      </c>
      <c r="N546" s="1">
        <v>-29.68854</v>
      </c>
    </row>
    <row r="547" spans="1:14" x14ac:dyDescent="0.4">
      <c r="A547" s="1">
        <v>1963</v>
      </c>
      <c r="B547" s="1">
        <v>27.6</v>
      </c>
      <c r="C547" s="1" t="s">
        <v>558</v>
      </c>
      <c r="D547" s="3">
        <f>-1.3333333*B547+1999.8</f>
        <v>1963.00000092</v>
      </c>
      <c r="E547" s="1">
        <v>47.542200000000001</v>
      </c>
      <c r="F547" s="1">
        <v>14.2516</v>
      </c>
      <c r="G547" s="1">
        <v>2.2999999999999998</v>
      </c>
      <c r="H547" s="1">
        <v>6.7290999999999999</v>
      </c>
      <c r="I547" s="1">
        <v>18.7758</v>
      </c>
      <c r="J547" s="1">
        <f t="shared" si="56"/>
        <v>16.969196400000001</v>
      </c>
      <c r="K547" s="1">
        <v>-0.2071200000000033</v>
      </c>
      <c r="L547" s="1">
        <f t="shared" si="57"/>
        <v>38.00894359550562</v>
      </c>
      <c r="M547" s="1">
        <v>-219.40729999999999</v>
      </c>
      <c r="N547" s="1">
        <v>-27.57441</v>
      </c>
    </row>
    <row r="548" spans="1:14" x14ac:dyDescent="0.4">
      <c r="B548" s="1">
        <v>27.65</v>
      </c>
      <c r="C548" s="1" t="s">
        <v>559</v>
      </c>
      <c r="D548" s="3">
        <f t="shared" ref="D548:D561" si="61">-1.3333333*B548+1999.8</f>
        <v>1962.9333342549999</v>
      </c>
      <c r="E548" s="1">
        <v>14.2043</v>
      </c>
      <c r="F548" s="1">
        <v>15.431800000000001</v>
      </c>
      <c r="G548" s="1">
        <v>6.1315</v>
      </c>
      <c r="H548" s="1">
        <v>3.5895000000000001</v>
      </c>
      <c r="I548" s="1">
        <v>217.3766</v>
      </c>
      <c r="J548" s="1">
        <f t="shared" si="56"/>
        <v>216.8368366</v>
      </c>
      <c r="K548" s="1">
        <v>-0.11333999999999378</v>
      </c>
      <c r="L548" s="1">
        <f t="shared" si="57"/>
        <v>-107.61414752808989</v>
      </c>
      <c r="M548" s="1">
        <v>-213.03560999999999</v>
      </c>
      <c r="N548" s="1">
        <v>-26.79684</v>
      </c>
    </row>
    <row r="549" spans="1:14" x14ac:dyDescent="0.4">
      <c r="B549" s="1">
        <v>27.7</v>
      </c>
      <c r="C549" s="1" t="s">
        <v>560</v>
      </c>
      <c r="D549" s="3">
        <f t="shared" si="61"/>
        <v>1962.8666675899999</v>
      </c>
      <c r="E549" s="1">
        <v>18.1358</v>
      </c>
      <c r="F549" s="1">
        <v>16.644400000000001</v>
      </c>
      <c r="G549" s="1">
        <v>8.5874000000000006</v>
      </c>
      <c r="H549" s="1">
        <v>1.6128</v>
      </c>
      <c r="I549" s="1">
        <v>20.3032</v>
      </c>
      <c r="J549" s="1">
        <f t="shared" si="56"/>
        <v>19.614039600000002</v>
      </c>
      <c r="K549" s="1">
        <v>1.0093599999999867</v>
      </c>
      <c r="L549" s="1">
        <f t="shared" si="57"/>
        <v>7.1166766292134813</v>
      </c>
      <c r="M549" s="1">
        <v>-209.25019</v>
      </c>
      <c r="N549" s="1">
        <v>-26.703060000000001</v>
      </c>
    </row>
    <row r="550" spans="1:14" x14ac:dyDescent="0.4">
      <c r="B550" s="1">
        <v>27.75</v>
      </c>
      <c r="C550" s="1" t="s">
        <v>561</v>
      </c>
      <c r="D550" s="3">
        <f t="shared" si="61"/>
        <v>1962.8000009249999</v>
      </c>
      <c r="E550" s="1">
        <v>19.804099999999998</v>
      </c>
      <c r="F550" s="1">
        <v>14.3772</v>
      </c>
      <c r="G550" s="1">
        <v>11.3935</v>
      </c>
      <c r="H550" s="1">
        <v>3.8037000000000001</v>
      </c>
      <c r="I550" s="1">
        <v>207.71530000000001</v>
      </c>
      <c r="J550" s="1">
        <f t="shared" si="56"/>
        <v>206.9627442</v>
      </c>
      <c r="K550" s="1">
        <v>1.1879800000000103</v>
      </c>
      <c r="L550" s="1">
        <f t="shared" si="57"/>
        <v>-96.467104606741572</v>
      </c>
      <c r="M550" s="1">
        <v>-219.10897</v>
      </c>
      <c r="N550" s="1">
        <v>-27.749400000000001</v>
      </c>
    </row>
    <row r="551" spans="1:14" x14ac:dyDescent="0.4">
      <c r="B551" s="1">
        <v>27.8</v>
      </c>
      <c r="C551" s="1" t="s">
        <v>562</v>
      </c>
      <c r="D551" s="3">
        <f t="shared" si="61"/>
        <v>1962.73333426</v>
      </c>
      <c r="E551" s="1">
        <v>24.813400000000001</v>
      </c>
      <c r="F551" s="1">
        <v>7.7172999999999998</v>
      </c>
      <c r="G551" s="1">
        <v>2.8902999999999999</v>
      </c>
      <c r="H551" s="1">
        <v>2.9741</v>
      </c>
      <c r="I551" s="1">
        <v>49.2682</v>
      </c>
      <c r="J551" s="1">
        <f t="shared" si="56"/>
        <v>48.325290799999998</v>
      </c>
      <c r="K551" s="1">
        <v>1.3391100000000051</v>
      </c>
      <c r="L551" s="1">
        <f t="shared" si="57"/>
        <v>-2.3356397752808959</v>
      </c>
      <c r="M551" s="1">
        <v>-221.81702000000001</v>
      </c>
      <c r="N551" s="1">
        <v>-28.16244</v>
      </c>
    </row>
    <row r="552" spans="1:14" x14ac:dyDescent="0.4">
      <c r="B552" s="1">
        <v>27.85</v>
      </c>
      <c r="C552" s="1" t="s">
        <v>563</v>
      </c>
      <c r="D552" s="3">
        <f t="shared" si="61"/>
        <v>1962.666667595</v>
      </c>
      <c r="E552" s="1">
        <v>134.0849</v>
      </c>
      <c r="F552" s="1">
        <v>38.841500000000003</v>
      </c>
      <c r="G552" s="1">
        <v>18.0992</v>
      </c>
      <c r="H552" s="1">
        <v>20.6631</v>
      </c>
      <c r="I552" s="1">
        <v>176.10380000000001</v>
      </c>
      <c r="J552" s="1">
        <f t="shared" si="56"/>
        <v>171.00857379999999</v>
      </c>
      <c r="K552" s="1">
        <v>4.374290000000002</v>
      </c>
      <c r="L552" s="1">
        <f t="shared" si="57"/>
        <v>38.012667528089892</v>
      </c>
      <c r="M552" s="1">
        <v>-227.19172</v>
      </c>
      <c r="N552" s="1">
        <v>-29.331849999999999</v>
      </c>
    </row>
    <row r="553" spans="1:14" x14ac:dyDescent="0.4">
      <c r="B553" s="1">
        <v>27.9</v>
      </c>
      <c r="C553" s="1" t="s">
        <v>564</v>
      </c>
      <c r="D553" s="3">
        <f t="shared" si="61"/>
        <v>1962.6000009299999</v>
      </c>
      <c r="E553" s="1">
        <v>35.660699999999999</v>
      </c>
      <c r="F553" s="1">
        <v>8.2928999999999995</v>
      </c>
      <c r="G553" s="1">
        <v>5.3205</v>
      </c>
      <c r="H553" s="1">
        <v>3.4655999999999998</v>
      </c>
      <c r="I553" s="1">
        <v>32.999400000000001</v>
      </c>
      <c r="J553" s="1">
        <f t="shared" si="56"/>
        <v>31.644293400000002</v>
      </c>
      <c r="K553" s="1">
        <v>2.8862300000000118</v>
      </c>
      <c r="L553" s="1">
        <f t="shared" si="57"/>
        <v>17.883007078651683</v>
      </c>
      <c r="M553" s="1">
        <v>-241.92043000000001</v>
      </c>
      <c r="N553" s="1">
        <v>-30.581430000000001</v>
      </c>
    </row>
    <row r="554" spans="1:14" x14ac:dyDescent="0.4">
      <c r="B554" s="1">
        <v>27.95</v>
      </c>
      <c r="C554" s="1" t="s">
        <v>565</v>
      </c>
      <c r="D554" s="3">
        <f t="shared" si="61"/>
        <v>1962.5333342649999</v>
      </c>
      <c r="E554" s="1">
        <v>26.823</v>
      </c>
      <c r="F554" s="1">
        <v>17.105499999999999</v>
      </c>
      <c r="G554" s="1">
        <v>9.9937000000000005</v>
      </c>
      <c r="H554" s="1">
        <v>5.0842999999999998</v>
      </c>
      <c r="I554" s="1">
        <v>217.11179999999999</v>
      </c>
      <c r="J554" s="1">
        <f t="shared" si="56"/>
        <v>216.09252599999999</v>
      </c>
      <c r="K554" s="1">
        <v>3.4824999999999875</v>
      </c>
      <c r="L554" s="1">
        <f t="shared" si="57"/>
        <v>-94.577295505617968</v>
      </c>
      <c r="M554" s="1">
        <v>-241.81987000000001</v>
      </c>
      <c r="N554" s="1">
        <v>-30.301259999999999</v>
      </c>
    </row>
    <row r="555" spans="1:14" x14ac:dyDescent="0.4">
      <c r="B555" s="1">
        <v>28</v>
      </c>
      <c r="C555" s="1" t="s">
        <v>566</v>
      </c>
      <c r="D555" s="3">
        <f t="shared" si="61"/>
        <v>1962.4666675999999</v>
      </c>
      <c r="E555" s="1">
        <v>45.996299999999998</v>
      </c>
      <c r="F555" s="1">
        <v>10.522399999999999</v>
      </c>
      <c r="G555" s="1">
        <v>8.2317999999999998</v>
      </c>
      <c r="H555" s="1">
        <v>4.3554000000000004</v>
      </c>
      <c r="I555" s="1">
        <v>25.027200000000001</v>
      </c>
      <c r="J555" s="1">
        <f t="shared" si="56"/>
        <v>23.279340600000001</v>
      </c>
      <c r="K555" s="1">
        <v>7.4630799999999908</v>
      </c>
      <c r="L555" s="1">
        <f t="shared" si="57"/>
        <v>32.918018764044945</v>
      </c>
      <c r="M555" s="1">
        <v>-235.18555000000001</v>
      </c>
      <c r="N555" s="1">
        <v>-29.656839999999999</v>
      </c>
    </row>
    <row r="556" spans="1:14" x14ac:dyDescent="0.4">
      <c r="B556" s="1">
        <v>28.05</v>
      </c>
      <c r="C556" s="1" t="s">
        <v>567</v>
      </c>
      <c r="D556" s="3">
        <f t="shared" si="61"/>
        <v>1962.400000935</v>
      </c>
      <c r="E556" s="1">
        <v>82.438699999999997</v>
      </c>
      <c r="F556" s="1">
        <v>36.689799999999998</v>
      </c>
      <c r="G556" s="1">
        <v>8.9907000000000004</v>
      </c>
      <c r="H556" s="1">
        <v>13.7582</v>
      </c>
      <c r="I556" s="1">
        <v>296.52100000000002</v>
      </c>
      <c r="J556" s="1">
        <f t="shared" si="56"/>
        <v>293.38832940000003</v>
      </c>
      <c r="K556" s="1">
        <v>2.7310099999999977</v>
      </c>
      <c r="L556" s="1">
        <f t="shared" si="57"/>
        <v>-82.386204157303396</v>
      </c>
      <c r="M556" s="1">
        <v>-231.80780999999999</v>
      </c>
      <c r="N556" s="1">
        <v>-29.329630000000002</v>
      </c>
    </row>
    <row r="557" spans="1:14" x14ac:dyDescent="0.4">
      <c r="B557" s="1">
        <v>28.1</v>
      </c>
      <c r="C557" s="1" t="s">
        <v>568</v>
      </c>
      <c r="D557" s="3">
        <f t="shared" si="61"/>
        <v>1962.33333427</v>
      </c>
      <c r="E557" s="1">
        <v>97.768500000000003</v>
      </c>
      <c r="F557" s="1">
        <v>20.974900000000002</v>
      </c>
      <c r="G557" s="1">
        <v>5.5106000000000002</v>
      </c>
      <c r="H557" s="1">
        <v>13.674899999999999</v>
      </c>
      <c r="I557" s="1">
        <v>49.770899999999997</v>
      </c>
      <c r="J557" s="1">
        <f t="shared" si="56"/>
        <v>46.055696999999995</v>
      </c>
      <c r="K557" s="1">
        <v>0.5902099999999848</v>
      </c>
      <c r="L557" s="1">
        <f t="shared" si="57"/>
        <v>71.894512921348323</v>
      </c>
      <c r="M557" s="1">
        <v>-236.29674</v>
      </c>
      <c r="N557" s="1">
        <v>-29.83634</v>
      </c>
    </row>
    <row r="558" spans="1:14" x14ac:dyDescent="0.4">
      <c r="B558" s="1">
        <v>28.15</v>
      </c>
      <c r="C558" s="1" t="s">
        <v>569</v>
      </c>
      <c r="D558" s="3">
        <f t="shared" si="61"/>
        <v>1962.2666676049998</v>
      </c>
      <c r="E558" s="1">
        <v>540.3809</v>
      </c>
      <c r="F558" s="1">
        <v>6.8864999999999998</v>
      </c>
      <c r="G558" s="1">
        <v>25.316299999999998</v>
      </c>
      <c r="H558" s="1">
        <v>67.466399999999993</v>
      </c>
      <c r="I558" s="1">
        <v>194.26390000000001</v>
      </c>
      <c r="J558" s="1">
        <f t="shared" si="56"/>
        <v>173.7294258</v>
      </c>
      <c r="K558" s="1">
        <v>2.0691699999999855</v>
      </c>
      <c r="L558" s="1">
        <f t="shared" si="57"/>
        <v>442.78009898876405</v>
      </c>
      <c r="M558" s="1">
        <v>-245.42508000000001</v>
      </c>
      <c r="N558" s="1">
        <v>-30.933949999999999</v>
      </c>
    </row>
    <row r="559" spans="1:14" x14ac:dyDescent="0.4">
      <c r="B559" s="1">
        <v>28.2</v>
      </c>
      <c r="C559" s="1" t="s">
        <v>570</v>
      </c>
      <c r="D559" s="3">
        <f t="shared" si="61"/>
        <v>1962.2000009399999</v>
      </c>
      <c r="E559" s="1">
        <v>174.82650000000001</v>
      </c>
      <c r="F559" s="1">
        <v>2.4550000000000001</v>
      </c>
      <c r="G559" s="1">
        <v>6.2237999999999998</v>
      </c>
      <c r="H559" s="1">
        <v>20.1508</v>
      </c>
      <c r="I559" s="1">
        <v>37.552700000000002</v>
      </c>
      <c r="J559" s="1">
        <f t="shared" si="56"/>
        <v>30.909293000000002</v>
      </c>
      <c r="K559" s="1">
        <v>2.8292300000000239</v>
      </c>
      <c r="L559" s="1">
        <f t="shared" si="57"/>
        <v>157.46172865168541</v>
      </c>
      <c r="M559" s="1">
        <v>-252.66543999999999</v>
      </c>
      <c r="N559" s="1">
        <v>-31.68863</v>
      </c>
    </row>
    <row r="560" spans="1:14" x14ac:dyDescent="0.4">
      <c r="B560" s="1">
        <v>28.25</v>
      </c>
      <c r="C560" s="1" t="s">
        <v>571</v>
      </c>
      <c r="D560" s="3">
        <f t="shared" si="61"/>
        <v>1962.1333342749999</v>
      </c>
      <c r="E560" s="1">
        <v>365.65539999999999</v>
      </c>
      <c r="F560" s="1">
        <v>12.218299999999999</v>
      </c>
      <c r="G560" s="1">
        <v>23.117999999999999</v>
      </c>
      <c r="H560" s="1">
        <v>50.732599999999998</v>
      </c>
      <c r="I560" s="1">
        <v>350.40339999999998</v>
      </c>
      <c r="J560" s="1">
        <f t="shared" si="56"/>
        <v>336.50849479999999</v>
      </c>
      <c r="K560" s="1">
        <v>2.3939799999999991</v>
      </c>
      <c r="L560" s="1">
        <f t="shared" si="57"/>
        <v>176.6056838202247</v>
      </c>
      <c r="M560" s="1">
        <v>-257.79219000000001</v>
      </c>
      <c r="N560" s="1">
        <v>-32.388840000000002</v>
      </c>
    </row>
    <row r="561" spans="1:14" x14ac:dyDescent="0.4">
      <c r="B561" s="1">
        <v>28.3</v>
      </c>
      <c r="C561" s="1" t="s">
        <v>572</v>
      </c>
      <c r="D561" s="3">
        <f t="shared" si="61"/>
        <v>1962.06666761</v>
      </c>
      <c r="E561" s="1">
        <v>62.675699999999999</v>
      </c>
      <c r="F561" s="1">
        <v>12.1869</v>
      </c>
      <c r="G561" s="1">
        <v>2.141</v>
      </c>
      <c r="H561" s="1">
        <v>8.4296000000000006</v>
      </c>
      <c r="I561" s="1">
        <v>47.000300000000003</v>
      </c>
      <c r="J561" s="1">
        <f t="shared" si="56"/>
        <v>44.618623400000004</v>
      </c>
      <c r="K561" s="1">
        <v>2.0465199999999868</v>
      </c>
      <c r="L561" s="1">
        <f t="shared" si="57"/>
        <v>37.609057640449436</v>
      </c>
      <c r="M561" s="1">
        <v>-256.57118000000003</v>
      </c>
      <c r="N561" s="1">
        <v>-32.301879999999997</v>
      </c>
    </row>
    <row r="562" spans="1:14" x14ac:dyDescent="0.4">
      <c r="A562" s="1">
        <v>1962</v>
      </c>
      <c r="B562" s="1">
        <v>28.35</v>
      </c>
      <c r="C562" s="1" t="s">
        <v>573</v>
      </c>
      <c r="D562" s="3">
        <f>-1.538462*B562+2005.615385</f>
        <v>1961.9999873000002</v>
      </c>
      <c r="E562" s="1">
        <v>193.62909999999999</v>
      </c>
      <c r="F562" s="1">
        <v>34.965200000000003</v>
      </c>
      <c r="G562" s="1">
        <v>19.563199999999998</v>
      </c>
      <c r="H562" s="1">
        <v>26.687000000000001</v>
      </c>
      <c r="I562" s="1">
        <v>249.6841</v>
      </c>
      <c r="J562" s="1">
        <f t="shared" si="56"/>
        <v>242.3261942</v>
      </c>
      <c r="K562" s="1">
        <v>0.84360000000000923</v>
      </c>
      <c r="L562" s="1">
        <f t="shared" si="57"/>
        <v>57.490788651685392</v>
      </c>
      <c r="M562" s="1">
        <v>-250.77153000000001</v>
      </c>
      <c r="N562" s="1">
        <v>-31.642910000000001</v>
      </c>
    </row>
    <row r="563" spans="1:14" x14ac:dyDescent="0.4">
      <c r="B563" s="1">
        <v>28.4</v>
      </c>
      <c r="C563" s="1" t="s">
        <v>574</v>
      </c>
      <c r="D563" s="3">
        <f t="shared" ref="D563:D574" si="62">-1.538462*B563+2005.615385</f>
        <v>1961.9230642</v>
      </c>
      <c r="E563" s="1">
        <v>92.455299999999994</v>
      </c>
      <c r="F563" s="1">
        <v>13.781599999999999</v>
      </c>
      <c r="G563" s="1">
        <v>5.5183999999999997</v>
      </c>
      <c r="H563" s="1">
        <v>8.0862999999999996</v>
      </c>
      <c r="I563" s="1">
        <v>38.705300000000001</v>
      </c>
      <c r="J563" s="1">
        <f t="shared" si="56"/>
        <v>35.191998600000005</v>
      </c>
      <c r="K563" s="1">
        <v>1.3185300000000097</v>
      </c>
      <c r="L563" s="1">
        <f t="shared" si="57"/>
        <v>72.684514269662913</v>
      </c>
      <c r="M563" s="1">
        <v>-236.16408999999999</v>
      </c>
      <c r="N563" s="1">
        <v>-30.024999999999999</v>
      </c>
    </row>
    <row r="564" spans="1:14" x14ac:dyDescent="0.4">
      <c r="B564" s="1">
        <v>28.45</v>
      </c>
      <c r="C564" s="1" t="s">
        <v>575</v>
      </c>
      <c r="D564" s="3">
        <f t="shared" si="62"/>
        <v>1961.8461411000001</v>
      </c>
      <c r="E564" s="1">
        <v>106.9697</v>
      </c>
      <c r="F564" s="1">
        <v>16.510200000000001</v>
      </c>
      <c r="G564" s="1">
        <v>14.541700000000001</v>
      </c>
      <c r="H564" s="1">
        <v>26.146799999999999</v>
      </c>
      <c r="I564" s="1">
        <v>335.10989999999998</v>
      </c>
      <c r="J564" s="1">
        <f t="shared" si="56"/>
        <v>331.04505139999998</v>
      </c>
      <c r="K564" s="1">
        <v>1.8438599999999497</v>
      </c>
      <c r="L564" s="1">
        <f t="shared" si="57"/>
        <v>-79.010665955056155</v>
      </c>
      <c r="M564" s="1">
        <v>-232.91468</v>
      </c>
      <c r="N564" s="1">
        <v>-29.746420000000001</v>
      </c>
    </row>
    <row r="565" spans="1:14" x14ac:dyDescent="0.4">
      <c r="B565" s="1">
        <v>28.5</v>
      </c>
      <c r="C565" s="1" t="s">
        <v>576</v>
      </c>
      <c r="D565" s="3">
        <f t="shared" si="62"/>
        <v>1961.7692180000001</v>
      </c>
      <c r="E565" s="1">
        <v>22.4665</v>
      </c>
      <c r="F565" s="1">
        <v>5.7426000000000004</v>
      </c>
      <c r="G565" s="1">
        <v>1.7605999999999999</v>
      </c>
      <c r="H565" s="1">
        <v>2.7679999999999998</v>
      </c>
      <c r="I565" s="1">
        <v>39.9129</v>
      </c>
      <c r="J565" s="1">
        <f t="shared" si="56"/>
        <v>39.059173000000001</v>
      </c>
      <c r="K565" s="1">
        <v>2.3717499999999916</v>
      </c>
      <c r="L565" s="1">
        <f t="shared" si="57"/>
        <v>0.5231443820224726</v>
      </c>
      <c r="M565" s="1">
        <v>-238.15190999999999</v>
      </c>
      <c r="N565" s="1">
        <v>-30.261489999999998</v>
      </c>
    </row>
    <row r="566" spans="1:14" x14ac:dyDescent="0.4">
      <c r="B566" s="1">
        <v>28.55</v>
      </c>
      <c r="C566" s="1" t="s">
        <v>577</v>
      </c>
      <c r="D566" s="3">
        <f t="shared" si="62"/>
        <v>1961.6922949</v>
      </c>
      <c r="E566" s="1">
        <v>62.124600000000001</v>
      </c>
      <c r="F566" s="1">
        <v>13.4816</v>
      </c>
      <c r="G566" s="1">
        <v>8.5714000000000006</v>
      </c>
      <c r="H566" s="1">
        <v>14.9971</v>
      </c>
      <c r="I566" s="1">
        <v>268.47410000000002</v>
      </c>
      <c r="J566" s="1">
        <f t="shared" si="56"/>
        <v>266.11336520000003</v>
      </c>
      <c r="K566" s="1">
        <v>4.0359100000000012</v>
      </c>
      <c r="L566" s="1">
        <f t="shared" si="57"/>
        <v>-87.377290561797778</v>
      </c>
      <c r="M566" s="1">
        <v>-244.2576</v>
      </c>
      <c r="N566" s="1">
        <v>-30.837800000000001</v>
      </c>
    </row>
    <row r="567" spans="1:14" x14ac:dyDescent="0.4">
      <c r="B567" s="1">
        <v>28.6</v>
      </c>
      <c r="C567" s="1" t="s">
        <v>578</v>
      </c>
      <c r="D567" s="3">
        <f t="shared" si="62"/>
        <v>1961.6153718</v>
      </c>
      <c r="E567" s="1">
        <v>141.10669999999999</v>
      </c>
      <c r="F567" s="1">
        <v>14.351000000000001</v>
      </c>
      <c r="G567" s="1">
        <v>7.6430999999999996</v>
      </c>
      <c r="H567" s="1">
        <v>14.1967</v>
      </c>
      <c r="I567" s="1">
        <v>30.462</v>
      </c>
      <c r="J567" s="1">
        <f t="shared" si="56"/>
        <v>25.099945399999999</v>
      </c>
      <c r="K567" s="1">
        <v>5.0566800000000001</v>
      </c>
      <c r="L567" s="1">
        <f t="shared" si="57"/>
        <v>127.00560707865168</v>
      </c>
      <c r="M567" s="1">
        <v>-262.84983999999997</v>
      </c>
      <c r="N567" s="1">
        <v>-32.988939999999999</v>
      </c>
    </row>
    <row r="568" spans="1:14" x14ac:dyDescent="0.4">
      <c r="B568" s="1">
        <v>28.65</v>
      </c>
      <c r="C568" s="1" t="s">
        <v>579</v>
      </c>
      <c r="D568" s="3">
        <f t="shared" si="62"/>
        <v>1961.5384487000001</v>
      </c>
      <c r="E568" s="1">
        <v>345.7276</v>
      </c>
      <c r="F568" s="1">
        <v>9.1821000000000002</v>
      </c>
      <c r="G568" s="1">
        <v>17.3066</v>
      </c>
      <c r="H568" s="1">
        <v>43.795099999999998</v>
      </c>
      <c r="I568" s="1">
        <v>205.4562</v>
      </c>
      <c r="J568" s="1">
        <f t="shared" si="56"/>
        <v>192.3185512</v>
      </c>
      <c r="K568" s="1">
        <v>3.9400100000000009</v>
      </c>
      <c r="L568" s="1">
        <f t="shared" si="57"/>
        <v>237.68347011235954</v>
      </c>
      <c r="M568" s="1">
        <v>-274.74128000000002</v>
      </c>
      <c r="N568" s="1">
        <v>-34.400350000000003</v>
      </c>
    </row>
    <row r="569" spans="1:14" x14ac:dyDescent="0.4">
      <c r="B569" s="1">
        <v>28.7</v>
      </c>
      <c r="C569" s="1" t="s">
        <v>580</v>
      </c>
      <c r="D569" s="3">
        <f t="shared" si="62"/>
        <v>1961.4615256</v>
      </c>
      <c r="E569" s="1">
        <v>39.648400000000002</v>
      </c>
      <c r="F569" s="1">
        <v>21.873200000000001</v>
      </c>
      <c r="G569" s="1">
        <v>2.4308000000000001</v>
      </c>
      <c r="H569" s="1">
        <v>6.9610000000000003</v>
      </c>
      <c r="I569" s="1">
        <v>35.258200000000002</v>
      </c>
      <c r="J569" s="1">
        <f t="shared" si="56"/>
        <v>33.7515608</v>
      </c>
      <c r="K569" s="1">
        <v>2.444800000000015</v>
      </c>
      <c r="L569" s="1">
        <f t="shared" si="57"/>
        <v>20.686848988764048</v>
      </c>
      <c r="M569" s="1">
        <v>-277.06709999999998</v>
      </c>
      <c r="N569" s="1">
        <v>-34.812420000000003</v>
      </c>
    </row>
    <row r="570" spans="1:14" x14ac:dyDescent="0.4">
      <c r="B570" s="1">
        <v>28.75</v>
      </c>
      <c r="C570" s="1" t="s">
        <v>581</v>
      </c>
      <c r="D570" s="3">
        <f t="shared" si="62"/>
        <v>1961.3846025</v>
      </c>
      <c r="E570" s="1">
        <v>211.22020000000001</v>
      </c>
      <c r="F570" s="1">
        <v>8.5465999999999998</v>
      </c>
      <c r="G570" s="1">
        <v>12.623799999999999</v>
      </c>
      <c r="H570" s="1">
        <v>21.1052</v>
      </c>
      <c r="I570" s="1">
        <v>197.86420000000001</v>
      </c>
      <c r="J570" s="1">
        <f t="shared" si="56"/>
        <v>189.83783240000002</v>
      </c>
      <c r="K570" s="1">
        <v>1.0616800000000239</v>
      </c>
      <c r="L570" s="1">
        <f t="shared" si="57"/>
        <v>104.56973235955056</v>
      </c>
      <c r="M570" s="1">
        <v>-277.30435999999997</v>
      </c>
      <c r="N570" s="1">
        <v>-34.694279999999999</v>
      </c>
    </row>
    <row r="571" spans="1:14" x14ac:dyDescent="0.4">
      <c r="B571" s="1">
        <v>28.8</v>
      </c>
      <c r="C571" s="1" t="s">
        <v>582</v>
      </c>
      <c r="D571" s="3">
        <f t="shared" si="62"/>
        <v>1961.3076794000001</v>
      </c>
      <c r="E571" s="1">
        <v>60.039700000000003</v>
      </c>
      <c r="F571" s="1">
        <v>15.5501</v>
      </c>
      <c r="G571" s="1">
        <v>3.2408000000000001</v>
      </c>
      <c r="H571" s="1">
        <v>7.6707999999999998</v>
      </c>
      <c r="I571" s="1">
        <v>21.826899999999998</v>
      </c>
      <c r="J571" s="1">
        <f t="shared" si="56"/>
        <v>19.5453914</v>
      </c>
      <c r="K571" s="1">
        <v>0.46152000000000726</v>
      </c>
      <c r="L571" s="1">
        <f t="shared" si="57"/>
        <v>49.059143033707869</v>
      </c>
      <c r="M571" s="1">
        <v>-267.21947</v>
      </c>
      <c r="N571" s="1">
        <v>-33.856499999999997</v>
      </c>
    </row>
    <row r="572" spans="1:14" x14ac:dyDescent="0.4">
      <c r="B572" s="1">
        <v>28.85</v>
      </c>
      <c r="C572" s="1" t="s">
        <v>583</v>
      </c>
      <c r="D572" s="3">
        <f t="shared" si="62"/>
        <v>1961.2307563000002</v>
      </c>
      <c r="E572" s="1">
        <v>57.976700000000001</v>
      </c>
      <c r="F572" s="1">
        <v>32.525300000000001</v>
      </c>
      <c r="G572" s="1">
        <v>15.217499999999999</v>
      </c>
      <c r="H572" s="1">
        <v>9.9062999999999999</v>
      </c>
      <c r="I572" s="1">
        <v>243.7526</v>
      </c>
      <c r="J572" s="1">
        <f t="shared" si="56"/>
        <v>241.54948540000001</v>
      </c>
      <c r="K572" s="1">
        <v>1.4322600000000421</v>
      </c>
      <c r="L572" s="1">
        <f t="shared" si="57"/>
        <v>-77.72525808988766</v>
      </c>
      <c r="M572" s="1">
        <v>-255.85122000000001</v>
      </c>
      <c r="N572" s="1">
        <v>-32.66301</v>
      </c>
    </row>
    <row r="573" spans="1:14" x14ac:dyDescent="0.4">
      <c r="B573" s="1">
        <v>28.9</v>
      </c>
      <c r="C573" s="1" t="s">
        <v>584</v>
      </c>
      <c r="D573" s="3">
        <f t="shared" si="62"/>
        <v>1961.1538332</v>
      </c>
      <c r="E573" s="1">
        <v>9.7429000000000006</v>
      </c>
      <c r="F573" s="1">
        <v>19.736999999999998</v>
      </c>
      <c r="G573" s="1">
        <v>2.5554000000000001</v>
      </c>
      <c r="H573" s="1">
        <v>3.4628999999999999</v>
      </c>
      <c r="I573" s="1">
        <v>51.7</v>
      </c>
      <c r="J573" s="1">
        <f t="shared" si="56"/>
        <v>51.329769800000001</v>
      </c>
      <c r="K573" s="1">
        <v>0.24988000000001875</v>
      </c>
      <c r="L573" s="1">
        <f t="shared" si="57"/>
        <v>-19.094049325842697</v>
      </c>
      <c r="M573" s="1">
        <v>-241.56491</v>
      </c>
      <c r="N573" s="1">
        <v>-30.83793</v>
      </c>
    </row>
    <row r="574" spans="1:14" x14ac:dyDescent="0.4">
      <c r="B574" s="1">
        <v>28.95</v>
      </c>
      <c r="C574" s="1" t="s">
        <v>585</v>
      </c>
      <c r="D574" s="3">
        <f t="shared" si="62"/>
        <v>1961.0769101000001</v>
      </c>
      <c r="E574" s="1">
        <v>334.86829999999998</v>
      </c>
      <c r="F574" s="1">
        <v>4.5944000000000003</v>
      </c>
      <c r="G574" s="1">
        <v>22.9878</v>
      </c>
      <c r="H574" s="1">
        <v>38.247500000000002</v>
      </c>
      <c r="I574" s="1">
        <v>340.48689999999999</v>
      </c>
      <c r="J574" s="1">
        <f t="shared" si="56"/>
        <v>327.76190459999998</v>
      </c>
      <c r="K574" s="1">
        <v>3.6325299999999743</v>
      </c>
      <c r="L574" s="1">
        <f t="shared" si="57"/>
        <v>150.73239853932583</v>
      </c>
      <c r="M574" s="1">
        <v>-235.20083</v>
      </c>
      <c r="N574" s="1">
        <v>-29.868400000000001</v>
      </c>
    </row>
    <row r="575" spans="1:14" x14ac:dyDescent="0.4">
      <c r="A575" s="1">
        <v>1961</v>
      </c>
      <c r="B575" s="1">
        <v>29</v>
      </c>
      <c r="C575" s="1" t="s">
        <v>586</v>
      </c>
      <c r="D575" s="3">
        <f>-1.538462*B575+2005.615385</f>
        <v>1960.9999870000001</v>
      </c>
      <c r="E575" s="1">
        <v>22.314699999999998</v>
      </c>
      <c r="F575" s="1">
        <v>17.972000000000001</v>
      </c>
      <c r="G575" s="1">
        <v>1.7676000000000001</v>
      </c>
      <c r="H575" s="1">
        <v>6.0407999999999999</v>
      </c>
      <c r="I575" s="1">
        <v>31.716200000000001</v>
      </c>
      <c r="J575" s="1">
        <f t="shared" si="56"/>
        <v>30.868241400000002</v>
      </c>
      <c r="K575" s="1">
        <v>5.4528599999999869</v>
      </c>
      <c r="L575" s="1">
        <f t="shared" si="57"/>
        <v>4.9729913483146042</v>
      </c>
      <c r="M575" s="1">
        <v>-231.60123999999999</v>
      </c>
      <c r="N575" s="1">
        <v>-29.297460000000001</v>
      </c>
    </row>
    <row r="576" spans="1:14" x14ac:dyDescent="0.4">
      <c r="B576" s="1">
        <v>29.05</v>
      </c>
      <c r="C576" s="1" t="s">
        <v>587</v>
      </c>
      <c r="D576" s="3">
        <f t="shared" ref="D576:D587" si="63">-1.538462*B576+2005.615385</f>
        <v>1960.9230639</v>
      </c>
      <c r="E576" s="1">
        <v>26.3428</v>
      </c>
      <c r="F576" s="1">
        <v>7.9132999999999996</v>
      </c>
      <c r="G576" s="1">
        <v>6.8470000000000004</v>
      </c>
      <c r="H576" s="1">
        <v>4.7748999999999997</v>
      </c>
      <c r="I576" s="1">
        <v>191.06</v>
      </c>
      <c r="J576" s="1">
        <f t="shared" si="56"/>
        <v>190.0589736</v>
      </c>
      <c r="K576" s="1">
        <v>5.1385300000000029</v>
      </c>
      <c r="L576" s="1">
        <f t="shared" si="57"/>
        <v>-80.431904269662923</v>
      </c>
      <c r="M576" s="1">
        <v>-226.11739</v>
      </c>
      <c r="N576" s="1">
        <v>-28.65981</v>
      </c>
    </row>
    <row r="577" spans="1:14" x14ac:dyDescent="0.4">
      <c r="B577" s="1">
        <v>29.1</v>
      </c>
      <c r="C577" s="1" t="s">
        <v>588</v>
      </c>
      <c r="D577" s="3">
        <f t="shared" si="63"/>
        <v>1960.8461408000001</v>
      </c>
      <c r="E577" s="1">
        <v>8.5516000000000005</v>
      </c>
      <c r="F577" s="1">
        <v>5.3205</v>
      </c>
      <c r="G577" s="1">
        <v>1.4043000000000001</v>
      </c>
      <c r="H577" s="1">
        <v>1.3893</v>
      </c>
      <c r="I577" s="1">
        <v>50.4283</v>
      </c>
      <c r="J577" s="1">
        <f t="shared" si="56"/>
        <v>50.103339200000001</v>
      </c>
      <c r="K577" s="1">
        <v>3.7463700000000131</v>
      </c>
      <c r="L577" s="1">
        <f t="shared" si="57"/>
        <v>-19.596343370786517</v>
      </c>
      <c r="M577" s="1">
        <v>-224.37339</v>
      </c>
      <c r="N577" s="1">
        <v>-27.928989999999999</v>
      </c>
    </row>
    <row r="578" spans="1:14" x14ac:dyDescent="0.4">
      <c r="B578" s="1">
        <v>29.15</v>
      </c>
      <c r="C578" s="1" t="s">
        <v>589</v>
      </c>
      <c r="D578" s="3">
        <f t="shared" si="63"/>
        <v>1960.7692177000001</v>
      </c>
      <c r="E578" s="1">
        <v>10.0549</v>
      </c>
      <c r="F578" s="1">
        <v>10.736800000000001</v>
      </c>
      <c r="G578" s="1">
        <v>6.7336999999999998</v>
      </c>
      <c r="H578" s="1">
        <v>3.6692999999999998</v>
      </c>
      <c r="I578" s="1">
        <v>243.423</v>
      </c>
      <c r="J578" s="1">
        <f t="shared" si="56"/>
        <v>243.0409138</v>
      </c>
      <c r="K578" s="1">
        <v>2.7784400000000176</v>
      </c>
      <c r="L578" s="1">
        <f t="shared" si="57"/>
        <v>-126.48493921348313</v>
      </c>
      <c r="M578" s="1">
        <v>-224.14585</v>
      </c>
      <c r="N578" s="1">
        <v>-28.186199999999999</v>
      </c>
    </row>
    <row r="579" spans="1:14" x14ac:dyDescent="0.4">
      <c r="B579" s="1">
        <v>29.2</v>
      </c>
      <c r="C579" s="1" t="s">
        <v>590</v>
      </c>
      <c r="D579" s="3">
        <f t="shared" si="63"/>
        <v>1960.6922946</v>
      </c>
      <c r="E579" s="1">
        <v>45.372399999999999</v>
      </c>
      <c r="F579" s="1">
        <v>16.133400000000002</v>
      </c>
      <c r="G579" s="1">
        <v>2.2587000000000002</v>
      </c>
      <c r="H579" s="1">
        <v>4.6059000000000001</v>
      </c>
      <c r="I579" s="1">
        <v>30.3537</v>
      </c>
      <c r="J579" s="1">
        <f t="shared" ref="J579:J642" si="64">I579-0.038*E579</f>
        <v>28.629548799999998</v>
      </c>
      <c r="K579" s="1">
        <v>3.1610900000000015</v>
      </c>
      <c r="L579" s="1">
        <f t="shared" ref="L579:L642" si="65">E579-(J579/1.78)</f>
        <v>29.28838382022472</v>
      </c>
      <c r="M579" s="1">
        <v>-230.18247</v>
      </c>
      <c r="N579" s="1">
        <v>-29.087869999999999</v>
      </c>
    </row>
    <row r="580" spans="1:14" x14ac:dyDescent="0.4">
      <c r="B580" s="1">
        <v>29.25</v>
      </c>
      <c r="C580" s="1" t="s">
        <v>591</v>
      </c>
      <c r="D580" s="3">
        <f t="shared" si="63"/>
        <v>1960.6153715</v>
      </c>
      <c r="E580" s="1">
        <v>59.735199999999999</v>
      </c>
      <c r="F580" s="1">
        <v>24.983899999999998</v>
      </c>
      <c r="G580" s="1">
        <v>12.474299999999999</v>
      </c>
      <c r="H580" s="1">
        <v>13.540800000000001</v>
      </c>
      <c r="I580" s="1">
        <v>172.0282</v>
      </c>
      <c r="J580" s="1">
        <f t="shared" si="64"/>
        <v>169.75826240000001</v>
      </c>
      <c r="K580" s="1">
        <v>-0.94147000000000958</v>
      </c>
      <c r="L580" s="1">
        <f t="shared" si="65"/>
        <v>-35.634610337078648</v>
      </c>
      <c r="M580" s="1">
        <v>-245.36071999999999</v>
      </c>
      <c r="N580" s="1">
        <v>-30.889720000000001</v>
      </c>
    </row>
    <row r="581" spans="1:14" x14ac:dyDescent="0.4">
      <c r="B581" s="1">
        <v>29.3</v>
      </c>
      <c r="C581" s="1" t="s">
        <v>592</v>
      </c>
      <c r="D581" s="3">
        <f t="shared" si="63"/>
        <v>1960.5384484000001</v>
      </c>
      <c r="E581" s="1">
        <v>81.842299999999994</v>
      </c>
      <c r="F581" s="1">
        <v>6.8342999999999998</v>
      </c>
      <c r="G581" s="1">
        <v>3.3220999999999998</v>
      </c>
      <c r="H581" s="1">
        <v>13.8863</v>
      </c>
      <c r="I581" s="1">
        <v>31.0656</v>
      </c>
      <c r="J581" s="1">
        <f t="shared" si="64"/>
        <v>27.955592599999999</v>
      </c>
      <c r="K581" s="1">
        <v>1.34375</v>
      </c>
      <c r="L581" s="1">
        <f t="shared" si="65"/>
        <v>66.136910898876394</v>
      </c>
      <c r="M581" s="1">
        <v>-257.93385000000001</v>
      </c>
      <c r="N581" s="1">
        <v>-32.652859999999997</v>
      </c>
    </row>
    <row r="582" spans="1:14" x14ac:dyDescent="0.4">
      <c r="B582" s="1">
        <v>29.35</v>
      </c>
      <c r="C582" s="1" t="s">
        <v>593</v>
      </c>
      <c r="D582" s="3">
        <f t="shared" si="63"/>
        <v>1960.4615252999999</v>
      </c>
      <c r="E582" s="1">
        <v>633.42200000000003</v>
      </c>
      <c r="F582" s="1">
        <v>2.9283999999999999</v>
      </c>
      <c r="G582" s="1">
        <v>56.185000000000002</v>
      </c>
      <c r="H582" s="1">
        <v>36.827800000000003</v>
      </c>
      <c r="I582" s="1">
        <v>334.4615</v>
      </c>
      <c r="J582" s="1">
        <f t="shared" si="64"/>
        <v>310.39146399999998</v>
      </c>
      <c r="K582" s="1">
        <v>2.5204899999999952</v>
      </c>
      <c r="L582" s="1">
        <f t="shared" si="65"/>
        <v>459.04477303370788</v>
      </c>
      <c r="M582" s="1">
        <v>-273.49941000000001</v>
      </c>
      <c r="N582" s="1">
        <v>-34.10474</v>
      </c>
    </row>
    <row r="583" spans="1:14" x14ac:dyDescent="0.4">
      <c r="B583" s="1">
        <v>29.4</v>
      </c>
      <c r="C583" s="1" t="s">
        <v>594</v>
      </c>
      <c r="D583" s="3">
        <f t="shared" si="63"/>
        <v>1960.3846022</v>
      </c>
      <c r="E583" s="1">
        <v>191.45939999999999</v>
      </c>
      <c r="F583" s="1">
        <v>10.1883</v>
      </c>
      <c r="G583" s="1">
        <v>11.771100000000001</v>
      </c>
      <c r="H583" s="1">
        <v>18.7852</v>
      </c>
      <c r="I583" s="1">
        <v>71.563199999999995</v>
      </c>
      <c r="J583" s="1">
        <f t="shared" si="64"/>
        <v>64.28774279999999</v>
      </c>
      <c r="K583" s="1">
        <v>1.7570400000000177</v>
      </c>
      <c r="L583" s="1">
        <f t="shared" si="65"/>
        <v>155.34269056179775</v>
      </c>
      <c r="M583" s="1">
        <v>-275.31317999999999</v>
      </c>
      <c r="N583" s="1">
        <v>-34.44455</v>
      </c>
    </row>
    <row r="584" spans="1:14" x14ac:dyDescent="0.4">
      <c r="B584" s="1">
        <v>29.45</v>
      </c>
      <c r="C584" s="1" t="s">
        <v>595</v>
      </c>
      <c r="D584" s="3">
        <f t="shared" si="63"/>
        <v>1960.3076791000001</v>
      </c>
      <c r="E584" s="1">
        <v>58.394599999999997</v>
      </c>
      <c r="F584" s="1">
        <v>4.9635999999999996</v>
      </c>
      <c r="G584" s="1">
        <v>20.663699999999999</v>
      </c>
      <c r="H584" s="1">
        <v>12.2311</v>
      </c>
      <c r="I584" s="1">
        <v>240.34200000000001</v>
      </c>
      <c r="J584" s="1">
        <f t="shared" si="64"/>
        <v>238.12300520000002</v>
      </c>
      <c r="K584" s="1">
        <v>3.2890299999999684</v>
      </c>
      <c r="L584" s="1">
        <f t="shared" si="65"/>
        <v>-75.382369213483173</v>
      </c>
      <c r="M584" s="1">
        <v>-268.62588</v>
      </c>
      <c r="N584" s="1">
        <v>-33.691360000000003</v>
      </c>
    </row>
    <row r="585" spans="1:14" x14ac:dyDescent="0.4">
      <c r="B585" s="1">
        <v>29.5</v>
      </c>
      <c r="C585" s="1" t="s">
        <v>596</v>
      </c>
      <c r="D585" s="3">
        <f t="shared" si="63"/>
        <v>1960.2307560000002</v>
      </c>
      <c r="E585" s="1">
        <v>103.2197</v>
      </c>
      <c r="F585" s="1">
        <v>7.4943</v>
      </c>
      <c r="G585" s="1">
        <v>11.2601</v>
      </c>
      <c r="H585" s="1">
        <v>11.032</v>
      </c>
      <c r="I585" s="1">
        <v>82.946399999999997</v>
      </c>
      <c r="J585" s="1">
        <f t="shared" si="64"/>
        <v>79.024051399999991</v>
      </c>
      <c r="K585" s="1">
        <v>-0.66149000000001479</v>
      </c>
      <c r="L585" s="1">
        <f t="shared" si="65"/>
        <v>58.824165505617984</v>
      </c>
      <c r="M585" s="1">
        <v>-259.74196999999998</v>
      </c>
      <c r="N585" s="1">
        <v>-32.75703</v>
      </c>
    </row>
    <row r="586" spans="1:14" x14ac:dyDescent="0.4">
      <c r="B586" s="1">
        <v>29.55</v>
      </c>
      <c r="C586" s="1" t="s">
        <v>597</v>
      </c>
      <c r="D586" s="3">
        <f t="shared" si="63"/>
        <v>1960.1538329</v>
      </c>
      <c r="E586" s="1">
        <v>94.009399999999999</v>
      </c>
      <c r="F586" s="1">
        <v>26.1309</v>
      </c>
      <c r="G586" s="1">
        <v>19.7804</v>
      </c>
      <c r="H586" s="1">
        <v>21.165099999999999</v>
      </c>
      <c r="I586" s="1">
        <v>360.4384</v>
      </c>
      <c r="J586" s="1">
        <f t="shared" si="64"/>
        <v>356.8660428</v>
      </c>
      <c r="K586" s="1">
        <v>0.24322000000000799</v>
      </c>
      <c r="L586" s="1">
        <f t="shared" si="65"/>
        <v>-106.4771408988764</v>
      </c>
      <c r="M586" s="1">
        <v>-253.90727999999999</v>
      </c>
      <c r="N586" s="1">
        <v>-31.991990000000001</v>
      </c>
    </row>
    <row r="587" spans="1:14" x14ac:dyDescent="0.4">
      <c r="B587" s="1">
        <v>29.6</v>
      </c>
      <c r="C587" s="1" t="s">
        <v>598</v>
      </c>
      <c r="D587" s="3">
        <f t="shared" si="63"/>
        <v>1960.0769098000001</v>
      </c>
      <c r="E587" s="1">
        <v>152.49369999999999</v>
      </c>
      <c r="F587" s="1">
        <v>9.2820999999999998</v>
      </c>
      <c r="G587" s="1">
        <v>9.0787999999999993</v>
      </c>
      <c r="H587" s="1">
        <v>10.4712</v>
      </c>
      <c r="I587" s="1">
        <v>34.604399999999998</v>
      </c>
      <c r="J587" s="1">
        <f t="shared" si="64"/>
        <v>28.809639399999998</v>
      </c>
      <c r="K587" s="1">
        <v>0.90500000000002956</v>
      </c>
      <c r="L587" s="1">
        <f t="shared" si="65"/>
        <v>136.30850932584269</v>
      </c>
      <c r="M587" s="1">
        <v>-252.01804999999999</v>
      </c>
      <c r="N587" s="1">
        <v>-32.132559999999998</v>
      </c>
    </row>
    <row r="588" spans="1:14" x14ac:dyDescent="0.4">
      <c r="A588" s="1">
        <v>1960</v>
      </c>
      <c r="B588" s="1">
        <v>29.65</v>
      </c>
      <c r="C588" s="1" t="s">
        <v>599</v>
      </c>
      <c r="D588" s="3">
        <f>-2*B588+2019.3</f>
        <v>1960</v>
      </c>
      <c r="E588" s="1">
        <v>89.421599999999998</v>
      </c>
      <c r="F588" s="1">
        <v>22.964099999999998</v>
      </c>
      <c r="G588" s="1">
        <v>12.9674</v>
      </c>
      <c r="H588" s="1">
        <v>15.466200000000001</v>
      </c>
      <c r="I588" s="1">
        <v>391.45549999999997</v>
      </c>
      <c r="J588" s="1">
        <f t="shared" si="64"/>
        <v>388.05747919999999</v>
      </c>
      <c r="K588" s="1">
        <v>2.3142700000000218</v>
      </c>
      <c r="L588" s="1">
        <f t="shared" si="65"/>
        <v>-128.58821977528089</v>
      </c>
      <c r="M588" s="1">
        <v>-252.47103000000001</v>
      </c>
      <c r="N588" s="1">
        <v>-32.053179999999998</v>
      </c>
    </row>
    <row r="589" spans="1:14" x14ac:dyDescent="0.4">
      <c r="B589" s="1">
        <v>29.7</v>
      </c>
      <c r="C589" s="1" t="s">
        <v>600</v>
      </c>
      <c r="D589" s="3">
        <f t="shared" ref="D589:D597" si="66">-2*B589+2019.3</f>
        <v>1959.8999999999999</v>
      </c>
      <c r="E589" s="1">
        <v>51.539200000000001</v>
      </c>
      <c r="F589" s="1">
        <v>6.6700999999999997</v>
      </c>
      <c r="G589" s="1">
        <v>3.5358999999999998</v>
      </c>
      <c r="H589" s="1">
        <v>8.1639999999999997</v>
      </c>
      <c r="I589" s="1">
        <v>55.917499999999997</v>
      </c>
      <c r="J589" s="1">
        <f t="shared" si="64"/>
        <v>53.959010399999997</v>
      </c>
      <c r="K589" s="1">
        <v>2.0286400000000242</v>
      </c>
      <c r="L589" s="1">
        <f t="shared" si="65"/>
        <v>21.225149213483149</v>
      </c>
      <c r="M589" s="1">
        <v>-252.84285</v>
      </c>
      <c r="N589" s="1">
        <v>-32.091970000000003</v>
      </c>
    </row>
    <row r="590" spans="1:14" x14ac:dyDescent="0.4">
      <c r="B590" s="1">
        <v>29.75</v>
      </c>
      <c r="C590" s="1" t="s">
        <v>601</v>
      </c>
      <c r="D590" s="3">
        <f t="shared" si="66"/>
        <v>1959.8</v>
      </c>
      <c r="E590" s="1">
        <v>220.2182</v>
      </c>
      <c r="F590" s="1">
        <v>150.00120000000001</v>
      </c>
      <c r="G590" s="1">
        <v>77.764799999999994</v>
      </c>
      <c r="H590" s="1">
        <v>20.4207</v>
      </c>
      <c r="I590" s="1">
        <v>466.99770000000001</v>
      </c>
      <c r="J590" s="1">
        <f t="shared" si="64"/>
        <v>458.62940839999999</v>
      </c>
      <c r="K590" s="1">
        <v>5.042429999999996</v>
      </c>
      <c r="L590" s="1">
        <f t="shared" si="65"/>
        <v>-37.438771011235957</v>
      </c>
      <c r="M590" s="1">
        <v>-247.88661999999999</v>
      </c>
      <c r="N590" s="1">
        <v>-31.762090000000001</v>
      </c>
    </row>
    <row r="591" spans="1:14" x14ac:dyDescent="0.4">
      <c r="B591" s="1">
        <v>29.8</v>
      </c>
      <c r="C591" s="1" t="s">
        <v>602</v>
      </c>
      <c r="D591" s="3">
        <f t="shared" si="66"/>
        <v>1959.7</v>
      </c>
      <c r="E591" s="1">
        <v>22.021100000000001</v>
      </c>
      <c r="F591" s="1">
        <v>9.1239000000000008</v>
      </c>
      <c r="G591" s="1">
        <v>2.6225999999999998</v>
      </c>
      <c r="H591" s="1">
        <v>3.2484999999999999</v>
      </c>
      <c r="I591" s="1">
        <v>40.099299999999999</v>
      </c>
      <c r="J591" s="1">
        <f t="shared" si="64"/>
        <v>39.262498199999996</v>
      </c>
      <c r="K591" s="1">
        <v>3.9544099999999673</v>
      </c>
      <c r="L591" s="1">
        <f t="shared" si="65"/>
        <v>-3.6483258426962095E-2</v>
      </c>
      <c r="M591" s="1">
        <v>-250.67251999999999</v>
      </c>
      <c r="N591" s="1">
        <v>-32.07338</v>
      </c>
    </row>
    <row r="592" spans="1:14" x14ac:dyDescent="0.4">
      <c r="B592" s="1">
        <v>29.85</v>
      </c>
      <c r="C592" s="1" t="s">
        <v>603</v>
      </c>
      <c r="D592" s="3">
        <f t="shared" si="66"/>
        <v>1959.6</v>
      </c>
      <c r="E592" s="1">
        <v>126.029</v>
      </c>
      <c r="F592" s="1">
        <v>16.038499999999999</v>
      </c>
      <c r="G592" s="1">
        <v>29.381699999999999</v>
      </c>
      <c r="H592" s="1">
        <v>28.7271</v>
      </c>
      <c r="I592" s="1">
        <v>322.14139999999998</v>
      </c>
      <c r="J592" s="1">
        <f t="shared" si="64"/>
        <v>317.35229799999996</v>
      </c>
      <c r="K592" s="1">
        <v>3.892910000000029</v>
      </c>
      <c r="L592" s="1">
        <f t="shared" si="65"/>
        <v>-52.258807865168507</v>
      </c>
      <c r="M592" s="1">
        <v>-252.38923</v>
      </c>
      <c r="N592" s="1">
        <v>-32.367400000000004</v>
      </c>
    </row>
    <row r="593" spans="1:14" x14ac:dyDescent="0.4">
      <c r="B593" s="1">
        <v>29.9</v>
      </c>
      <c r="C593" s="1" t="s">
        <v>604</v>
      </c>
      <c r="D593" s="3">
        <f t="shared" si="66"/>
        <v>1959.5</v>
      </c>
      <c r="E593" s="1">
        <v>52.124400000000001</v>
      </c>
      <c r="F593" s="1">
        <v>14.290800000000001</v>
      </c>
      <c r="G593" s="1">
        <v>5.8887</v>
      </c>
      <c r="H593" s="1">
        <v>7.5323000000000002</v>
      </c>
      <c r="I593" s="1">
        <v>35.11</v>
      </c>
      <c r="J593" s="1">
        <f t="shared" si="64"/>
        <v>33.129272800000003</v>
      </c>
      <c r="K593" s="1">
        <v>6.2101000000000113</v>
      </c>
      <c r="L593" s="1">
        <f t="shared" si="65"/>
        <v>33.512448988764049</v>
      </c>
      <c r="M593" s="1">
        <v>-259.57083</v>
      </c>
      <c r="N593" s="1">
        <v>-33.243009999999998</v>
      </c>
    </row>
    <row r="594" spans="1:14" x14ac:dyDescent="0.4">
      <c r="B594" s="1">
        <v>29.95</v>
      </c>
      <c r="C594" s="1" t="s">
        <v>605</v>
      </c>
      <c r="D594" s="3">
        <f t="shared" si="66"/>
        <v>1959.3999999999999</v>
      </c>
      <c r="E594" s="1">
        <v>40.545200000000001</v>
      </c>
      <c r="F594" s="1">
        <v>43.347200000000001</v>
      </c>
      <c r="G594" s="1">
        <v>13.12</v>
      </c>
      <c r="H594" s="1">
        <v>9.2706999999999997</v>
      </c>
      <c r="I594" s="1">
        <v>202.12629999999999</v>
      </c>
      <c r="J594" s="1">
        <f t="shared" si="64"/>
        <v>200.58558239999999</v>
      </c>
      <c r="K594" s="1">
        <v>5.9145200000000102</v>
      </c>
      <c r="L594" s="1">
        <f t="shared" si="65"/>
        <v>-72.143329438202244</v>
      </c>
      <c r="M594" s="1">
        <v>-268.41966000000002</v>
      </c>
      <c r="N594" s="1">
        <v>-34.0458</v>
      </c>
    </row>
    <row r="595" spans="1:14" x14ac:dyDescent="0.4">
      <c r="B595" s="1">
        <v>30</v>
      </c>
      <c r="C595" s="1" t="s">
        <v>606</v>
      </c>
      <c r="D595" s="3">
        <f t="shared" si="66"/>
        <v>1959.3</v>
      </c>
      <c r="E595" s="1">
        <v>11.0236</v>
      </c>
      <c r="F595" s="1">
        <v>11.017799999999999</v>
      </c>
      <c r="G595" s="1">
        <v>2.7997999999999998</v>
      </c>
      <c r="H595" s="1">
        <v>1.7424999999999999</v>
      </c>
      <c r="I595" s="1">
        <v>30.336500000000001</v>
      </c>
      <c r="J595" s="1">
        <f t="shared" si="64"/>
        <v>29.917603200000002</v>
      </c>
      <c r="K595" s="1">
        <v>6.5499700000000303</v>
      </c>
      <c r="L595" s="1">
        <f t="shared" si="65"/>
        <v>-5.784042247191012</v>
      </c>
      <c r="M595" s="1">
        <v>-263.66453999999999</v>
      </c>
      <c r="N595" s="1">
        <v>-33.762700000000002</v>
      </c>
    </row>
    <row r="596" spans="1:14" x14ac:dyDescent="0.4">
      <c r="B596" s="1">
        <v>30.05</v>
      </c>
      <c r="C596" s="1" t="s">
        <v>607</v>
      </c>
      <c r="D596" s="3">
        <f t="shared" si="66"/>
        <v>1959.2</v>
      </c>
      <c r="E596" s="1">
        <v>772.8066</v>
      </c>
      <c r="F596" s="1">
        <v>32.171900000000001</v>
      </c>
      <c r="G596" s="1">
        <v>440.30840000000001</v>
      </c>
      <c r="H596" s="1">
        <v>48.296500000000002</v>
      </c>
      <c r="I596" s="1">
        <v>722.64250000000004</v>
      </c>
      <c r="J596" s="1">
        <f t="shared" si="64"/>
        <v>693.27584920000004</v>
      </c>
      <c r="K596" s="1">
        <v>6.3732499999999845</v>
      </c>
      <c r="L596" s="1">
        <f t="shared" si="65"/>
        <v>383.32578584269663</v>
      </c>
      <c r="M596" s="1">
        <v>-260.58688999999998</v>
      </c>
      <c r="N596" s="1">
        <v>-33.339880000000001</v>
      </c>
    </row>
    <row r="597" spans="1:14" x14ac:dyDescent="0.4">
      <c r="B597" s="1">
        <v>30.1</v>
      </c>
      <c r="C597" s="1" t="s">
        <v>608</v>
      </c>
      <c r="D597" s="3">
        <f t="shared" si="66"/>
        <v>1959.1</v>
      </c>
      <c r="E597" s="1">
        <v>30.048100000000002</v>
      </c>
      <c r="F597" s="1">
        <v>13.9872</v>
      </c>
      <c r="G597" s="1">
        <v>2.3025000000000002</v>
      </c>
      <c r="H597" s="1">
        <v>4.1784999999999997</v>
      </c>
      <c r="I597" s="1">
        <v>35.076999999999998</v>
      </c>
      <c r="J597" s="1">
        <f t="shared" si="64"/>
        <v>33.935172199999997</v>
      </c>
      <c r="K597" s="1">
        <v>3.946739999999977</v>
      </c>
      <c r="L597" s="1">
        <f t="shared" si="65"/>
        <v>10.983396516853936</v>
      </c>
      <c r="M597" s="1">
        <v>-243.28207</v>
      </c>
      <c r="N597" s="1">
        <v>-31.273900000000001</v>
      </c>
    </row>
    <row r="598" spans="1:14" x14ac:dyDescent="0.4">
      <c r="A598" s="1">
        <v>1959</v>
      </c>
      <c r="B598" s="1">
        <v>30.15</v>
      </c>
      <c r="C598" s="1" t="s">
        <v>609</v>
      </c>
      <c r="D598" s="3">
        <f>-1.66666667*B598+2009.25</f>
        <v>1958.9999998994999</v>
      </c>
      <c r="E598" s="1">
        <v>24.193300000000001</v>
      </c>
      <c r="F598" s="1">
        <v>9.7095000000000002</v>
      </c>
      <c r="G598" s="1">
        <v>10.3064</v>
      </c>
      <c r="H598" s="1">
        <v>4.9641999999999999</v>
      </c>
      <c r="I598" s="1">
        <v>189.7431</v>
      </c>
      <c r="J598" s="1">
        <f t="shared" si="64"/>
        <v>188.8237546</v>
      </c>
      <c r="K598" s="1">
        <v>6.4370600000000309</v>
      </c>
      <c r="L598" s="1">
        <f t="shared" si="65"/>
        <v>-81.887461011235956</v>
      </c>
      <c r="M598" s="1">
        <v>-234.41387</v>
      </c>
      <c r="N598" s="1">
        <v>-29.959499999999998</v>
      </c>
    </row>
    <row r="599" spans="1:14" x14ac:dyDescent="0.4">
      <c r="B599" s="1">
        <v>30.2</v>
      </c>
      <c r="C599" s="1" t="s">
        <v>610</v>
      </c>
      <c r="D599" s="3">
        <f t="shared" ref="D599:D609" si="67">-1.66666667*B599+2009.25</f>
        <v>1958.916666566</v>
      </c>
      <c r="E599" s="1">
        <v>99.550200000000004</v>
      </c>
      <c r="F599" s="1">
        <v>23.6937</v>
      </c>
      <c r="G599" s="1">
        <v>4.0304000000000002</v>
      </c>
      <c r="H599" s="1">
        <v>12.385999999999999</v>
      </c>
      <c r="I599" s="1">
        <v>35.815199999999997</v>
      </c>
      <c r="J599" s="1">
        <f t="shared" si="64"/>
        <v>32.032292399999996</v>
      </c>
      <c r="K599" s="1">
        <v>6.1321500000000242</v>
      </c>
      <c r="L599" s="1">
        <f t="shared" si="65"/>
        <v>81.554530112359558</v>
      </c>
      <c r="M599" s="1">
        <v>-230.85500999999999</v>
      </c>
      <c r="N599" s="1">
        <v>-29.493020000000001</v>
      </c>
    </row>
    <row r="600" spans="1:14" x14ac:dyDescent="0.4">
      <c r="B600" s="1">
        <v>30.25</v>
      </c>
      <c r="C600" s="1" t="s">
        <v>611</v>
      </c>
      <c r="D600" s="3">
        <f t="shared" si="67"/>
        <v>1958.8333332325001</v>
      </c>
      <c r="E600" s="1">
        <v>16.8279</v>
      </c>
      <c r="F600" s="1">
        <v>21.1159</v>
      </c>
      <c r="G600" s="1">
        <v>12.923999999999999</v>
      </c>
      <c r="H600" s="1">
        <v>3.8248000000000002</v>
      </c>
      <c r="I600" s="1">
        <v>224.9324</v>
      </c>
      <c r="J600" s="1">
        <f t="shared" si="64"/>
        <v>224.2929398</v>
      </c>
      <c r="K600" s="1">
        <v>6.9091300000000047</v>
      </c>
      <c r="L600" s="1">
        <f t="shared" si="65"/>
        <v>-109.1793695505618</v>
      </c>
      <c r="M600" s="1">
        <v>-228.75127000000001</v>
      </c>
      <c r="N600" s="1">
        <v>-29.331669999999999</v>
      </c>
    </row>
    <row r="601" spans="1:14" x14ac:dyDescent="0.4">
      <c r="B601" s="1">
        <v>30.3</v>
      </c>
      <c r="C601" s="1" t="s">
        <v>612</v>
      </c>
      <c r="D601" s="3">
        <f t="shared" si="67"/>
        <v>1958.7499998989999</v>
      </c>
      <c r="E601" s="1">
        <v>83.225099999999998</v>
      </c>
      <c r="F601" s="1">
        <v>9.2773000000000003</v>
      </c>
      <c r="G601" s="1">
        <v>3.4725000000000001</v>
      </c>
      <c r="H601" s="1">
        <v>12.2652</v>
      </c>
      <c r="I601" s="1">
        <v>39.706699999999998</v>
      </c>
      <c r="J601" s="1">
        <f t="shared" si="64"/>
        <v>36.5441462</v>
      </c>
      <c r="K601" s="1">
        <v>5.2621299999999849</v>
      </c>
      <c r="L601" s="1">
        <f t="shared" si="65"/>
        <v>62.694680786516855</v>
      </c>
      <c r="M601" s="1">
        <v>-230.76644999999999</v>
      </c>
      <c r="N601" s="1">
        <v>-29.539390000000001</v>
      </c>
    </row>
    <row r="602" spans="1:14" x14ac:dyDescent="0.4">
      <c r="B602" s="1">
        <v>30.35</v>
      </c>
      <c r="C602" s="1" t="s">
        <v>613</v>
      </c>
      <c r="D602" s="3">
        <f t="shared" si="67"/>
        <v>1958.6666665655</v>
      </c>
      <c r="E602" s="1">
        <v>206.596</v>
      </c>
      <c r="F602" s="1">
        <v>33.920699999999997</v>
      </c>
      <c r="G602" s="1">
        <v>18.585599999999999</v>
      </c>
      <c r="H602" s="1">
        <v>29.280100000000001</v>
      </c>
      <c r="I602" s="1">
        <v>137.49700000000001</v>
      </c>
      <c r="J602" s="1">
        <f t="shared" si="64"/>
        <v>129.64635200000001</v>
      </c>
      <c r="K602" s="1">
        <v>5.0891500000000178</v>
      </c>
      <c r="L602" s="1">
        <f t="shared" si="65"/>
        <v>133.76097078651685</v>
      </c>
      <c r="M602" s="1">
        <v>-233.30974000000001</v>
      </c>
      <c r="N602" s="1">
        <v>-29.91459</v>
      </c>
    </row>
    <row r="603" spans="1:14" x14ac:dyDescent="0.4">
      <c r="B603" s="1">
        <v>30.4</v>
      </c>
      <c r="C603" s="1" t="s">
        <v>614</v>
      </c>
      <c r="D603" s="3">
        <f t="shared" si="67"/>
        <v>1958.5833332320001</v>
      </c>
      <c r="E603" s="1">
        <v>49.693899999999999</v>
      </c>
      <c r="F603" s="1">
        <v>2.8121</v>
      </c>
      <c r="G603" s="1">
        <v>1.7811999999999999</v>
      </c>
      <c r="H603" s="1">
        <v>6.3249000000000004</v>
      </c>
      <c r="I603" s="1">
        <v>35.2044</v>
      </c>
      <c r="J603" s="1">
        <f t="shared" si="64"/>
        <v>33.316031799999998</v>
      </c>
      <c r="K603" s="1">
        <v>5.902089999999987</v>
      </c>
      <c r="L603" s="1">
        <f t="shared" si="65"/>
        <v>30.97702820224719</v>
      </c>
      <c r="M603" s="1">
        <v>-238.13207</v>
      </c>
      <c r="N603" s="1">
        <v>-30.328880000000002</v>
      </c>
    </row>
    <row r="604" spans="1:14" x14ac:dyDescent="0.4">
      <c r="B604" s="1">
        <v>30.45</v>
      </c>
      <c r="C604" s="1" t="s">
        <v>615</v>
      </c>
      <c r="D604" s="3">
        <f t="shared" si="67"/>
        <v>1958.4999998984999</v>
      </c>
      <c r="E604" s="1">
        <v>57.275799999999997</v>
      </c>
      <c r="F604" s="1">
        <v>19.9771</v>
      </c>
      <c r="G604" s="1">
        <v>25.572600000000001</v>
      </c>
      <c r="H604" s="1">
        <v>7.6047000000000002</v>
      </c>
      <c r="I604" s="1">
        <v>402.95499999999998</v>
      </c>
      <c r="J604" s="1">
        <f t="shared" si="64"/>
        <v>400.77851959999998</v>
      </c>
      <c r="K604" s="1">
        <v>5.5486700000000155</v>
      </c>
      <c r="L604" s="1">
        <f t="shared" si="65"/>
        <v>-167.88067168539325</v>
      </c>
      <c r="M604" s="1">
        <v>-238.55079000000001</v>
      </c>
      <c r="N604" s="1">
        <v>-30.426169999999999</v>
      </c>
    </row>
    <row r="605" spans="1:14" x14ac:dyDescent="0.4">
      <c r="B605" s="1">
        <v>30.5</v>
      </c>
      <c r="C605" s="1" t="s">
        <v>616</v>
      </c>
      <c r="D605" s="3">
        <f t="shared" si="67"/>
        <v>1958.416666565</v>
      </c>
      <c r="E605" s="1">
        <v>6.9284999999999997</v>
      </c>
      <c r="F605" s="1">
        <v>6.5293999999999999</v>
      </c>
      <c r="G605" s="1">
        <v>1.7535000000000001</v>
      </c>
      <c r="H605" s="1">
        <v>0.92030000000000001</v>
      </c>
      <c r="I605" s="1">
        <v>20.660399999999999</v>
      </c>
      <c r="J605" s="1">
        <f t="shared" si="64"/>
        <v>20.397116999999998</v>
      </c>
      <c r="K605" s="1">
        <v>6.0069799999999987</v>
      </c>
      <c r="L605" s="1">
        <f t="shared" si="65"/>
        <v>-4.530554494382022</v>
      </c>
      <c r="M605" s="1">
        <v>-236.99826999999999</v>
      </c>
      <c r="N605" s="1">
        <v>-30.238720000000001</v>
      </c>
    </row>
    <row r="606" spans="1:14" x14ac:dyDescent="0.4">
      <c r="B606" s="1">
        <v>30.55</v>
      </c>
      <c r="C606" s="1" t="s">
        <v>617</v>
      </c>
      <c r="D606" s="3">
        <f t="shared" si="67"/>
        <v>1958.3333332315001</v>
      </c>
      <c r="E606" s="1">
        <v>25.7758</v>
      </c>
      <c r="F606" s="1">
        <v>29.879899999999999</v>
      </c>
      <c r="G606" s="1">
        <v>13.7685</v>
      </c>
      <c r="H606" s="1">
        <v>4.2061000000000002</v>
      </c>
      <c r="I606" s="1">
        <v>371.71780000000001</v>
      </c>
      <c r="J606" s="1">
        <f t="shared" si="64"/>
        <v>370.73831960000001</v>
      </c>
      <c r="K606" s="1">
        <v>4.4989700000000141</v>
      </c>
      <c r="L606" s="1">
        <f t="shared" si="65"/>
        <v>-182.50415483146068</v>
      </c>
      <c r="M606" s="1">
        <v>-237.56736000000001</v>
      </c>
      <c r="N606" s="1">
        <v>-30.47766</v>
      </c>
    </row>
    <row r="607" spans="1:14" x14ac:dyDescent="0.4">
      <c r="B607" s="1">
        <v>30.6</v>
      </c>
      <c r="C607" s="1" t="s">
        <v>618</v>
      </c>
      <c r="D607" s="3">
        <f t="shared" si="67"/>
        <v>1958.2499998979999</v>
      </c>
      <c r="E607" s="1">
        <v>44.6417</v>
      </c>
      <c r="F607" s="1">
        <v>9.6494999999999997</v>
      </c>
      <c r="G607" s="1">
        <v>4.0346000000000002</v>
      </c>
      <c r="H607" s="1">
        <v>6.2507999999999999</v>
      </c>
      <c r="I607" s="1">
        <v>39.249299999999998</v>
      </c>
      <c r="J607" s="1">
        <f t="shared" si="64"/>
        <v>37.552915399999996</v>
      </c>
      <c r="K607" s="1">
        <v>4.8585699999999861</v>
      </c>
      <c r="L607" s="1">
        <f t="shared" si="65"/>
        <v>23.544556516853934</v>
      </c>
      <c r="M607" s="1">
        <v>-241.74193</v>
      </c>
      <c r="N607" s="1">
        <v>-30.861719999999998</v>
      </c>
    </row>
    <row r="608" spans="1:14" x14ac:dyDescent="0.4">
      <c r="B608" s="1">
        <v>30.65</v>
      </c>
      <c r="C608" s="1" t="s">
        <v>619</v>
      </c>
      <c r="D608" s="3">
        <f t="shared" si="67"/>
        <v>1958.1666665645</v>
      </c>
      <c r="E608" s="1">
        <v>206.221</v>
      </c>
      <c r="F608" s="1">
        <v>12.852600000000001</v>
      </c>
      <c r="G608" s="1">
        <v>33.840899999999998</v>
      </c>
      <c r="H608" s="1">
        <v>35.972499999999997</v>
      </c>
      <c r="I608" s="1">
        <v>298.5197</v>
      </c>
      <c r="J608" s="1">
        <f t="shared" si="64"/>
        <v>290.68330200000003</v>
      </c>
      <c r="K608" s="1">
        <v>4.9114900000000148</v>
      </c>
      <c r="L608" s="1">
        <f t="shared" si="65"/>
        <v>42.91577415730336</v>
      </c>
      <c r="M608" s="1">
        <v>-247.86859000000001</v>
      </c>
      <c r="N608" s="1">
        <v>-31.358329999999999</v>
      </c>
    </row>
    <row r="609" spans="1:14" x14ac:dyDescent="0.4">
      <c r="B609" s="1">
        <v>30.7</v>
      </c>
      <c r="C609" s="1" t="s">
        <v>620</v>
      </c>
      <c r="D609" s="3">
        <f t="shared" si="67"/>
        <v>1958.0833332310001</v>
      </c>
      <c r="E609" s="1">
        <v>161.89349999999999</v>
      </c>
      <c r="F609" s="1">
        <v>20.162099999999999</v>
      </c>
      <c r="G609" s="1">
        <v>9.2954000000000008</v>
      </c>
      <c r="H609" s="1">
        <v>12.805400000000001</v>
      </c>
      <c r="I609" s="1">
        <v>69.048500000000004</v>
      </c>
      <c r="J609" s="1">
        <f t="shared" si="64"/>
        <v>62.896547000000005</v>
      </c>
      <c r="K609" s="1">
        <v>6.2539199999999937</v>
      </c>
      <c r="L609" s="1">
        <f t="shared" si="65"/>
        <v>126.55836123595503</v>
      </c>
      <c r="M609" s="1">
        <v>-252.34678</v>
      </c>
      <c r="N609" s="1">
        <v>-31.936360000000001</v>
      </c>
    </row>
    <row r="610" spans="1:14" x14ac:dyDescent="0.4">
      <c r="A610" s="1">
        <v>1958</v>
      </c>
      <c r="B610" s="1">
        <v>30.75</v>
      </c>
      <c r="C610" s="1" t="s">
        <v>621</v>
      </c>
      <c r="D610" s="3">
        <f>-1.818182*B610+2013.909091</f>
        <v>1957.9999945</v>
      </c>
      <c r="E610" s="1">
        <v>427.83300000000003</v>
      </c>
      <c r="F610" s="1">
        <v>33.236400000000003</v>
      </c>
      <c r="G610" s="1">
        <v>30.2638</v>
      </c>
      <c r="H610" s="1">
        <v>44.821100000000001</v>
      </c>
      <c r="I610" s="1">
        <v>205.73650000000001</v>
      </c>
      <c r="J610" s="1">
        <f t="shared" si="64"/>
        <v>189.478846</v>
      </c>
      <c r="K610" s="1">
        <v>5.1518299999999897</v>
      </c>
      <c r="L610" s="1">
        <f t="shared" si="65"/>
        <v>321.3842101123596</v>
      </c>
      <c r="M610" s="1">
        <v>-250.30625000000001</v>
      </c>
      <c r="N610" s="1">
        <v>-31.770879999999998</v>
      </c>
    </row>
    <row r="611" spans="1:14" x14ac:dyDescent="0.4">
      <c r="B611" s="1">
        <v>30.8</v>
      </c>
      <c r="C611" s="1" t="s">
        <v>622</v>
      </c>
      <c r="D611" s="3">
        <f t="shared" ref="D611:D620" si="68">-1.818182*B611+2013.909091</f>
        <v>1957.9090854000001</v>
      </c>
      <c r="E611" s="1">
        <v>40.659500000000001</v>
      </c>
      <c r="F611" s="1">
        <v>10.725899999999999</v>
      </c>
      <c r="G611" s="1">
        <v>4.8314000000000004</v>
      </c>
      <c r="H611" s="1">
        <v>9.5722000000000005</v>
      </c>
      <c r="I611" s="1">
        <v>38.568300000000001</v>
      </c>
      <c r="J611" s="1">
        <f t="shared" si="64"/>
        <v>37.023239000000004</v>
      </c>
      <c r="K611" s="1">
        <v>2.9980499999999779</v>
      </c>
      <c r="L611" s="1">
        <f t="shared" si="65"/>
        <v>19.859927528089887</v>
      </c>
      <c r="M611" s="1">
        <v>-246.06969000000001</v>
      </c>
      <c r="N611" s="1">
        <v>-31.255240000000001</v>
      </c>
    </row>
    <row r="612" spans="1:14" x14ac:dyDescent="0.4">
      <c r="B612" s="1">
        <v>30.85</v>
      </c>
      <c r="C612" s="1" t="s">
        <v>623</v>
      </c>
      <c r="D612" s="3">
        <f t="shared" si="68"/>
        <v>1957.8181763</v>
      </c>
      <c r="E612" s="1">
        <v>615.05610000000001</v>
      </c>
      <c r="F612" s="1">
        <v>162.02930000000001</v>
      </c>
      <c r="G612" s="1">
        <v>253.03550000000001</v>
      </c>
      <c r="H612" s="1">
        <v>39.686900000000001</v>
      </c>
      <c r="I612" s="1">
        <v>369.67259999999999</v>
      </c>
      <c r="J612" s="1">
        <f t="shared" si="64"/>
        <v>346.30046820000001</v>
      </c>
      <c r="K612" s="1">
        <v>3.1441000000000088</v>
      </c>
      <c r="L612" s="1">
        <f t="shared" si="65"/>
        <v>420.50527516853936</v>
      </c>
      <c r="M612" s="1">
        <v>-239.45643000000001</v>
      </c>
      <c r="N612" s="1">
        <v>-30.60915</v>
      </c>
    </row>
    <row r="613" spans="1:14" x14ac:dyDescent="0.4">
      <c r="B613" s="1">
        <v>30.9</v>
      </c>
      <c r="C613" s="1" t="s">
        <v>624</v>
      </c>
      <c r="D613" s="3">
        <f t="shared" si="68"/>
        <v>1957.7272671999999</v>
      </c>
      <c r="E613" s="1">
        <v>28.1661</v>
      </c>
      <c r="F613" s="1">
        <v>8.9639000000000006</v>
      </c>
      <c r="G613" s="1">
        <v>3.4302999999999999</v>
      </c>
      <c r="H613" s="1">
        <v>4.5495000000000001</v>
      </c>
      <c r="I613" s="1">
        <v>35.157800000000002</v>
      </c>
      <c r="J613" s="1">
        <f t="shared" si="64"/>
        <v>34.087488200000003</v>
      </c>
      <c r="K613" s="1">
        <v>3.8607899999999802</v>
      </c>
      <c r="L613" s="1">
        <f t="shared" si="65"/>
        <v>9.0158257303370775</v>
      </c>
      <c r="M613" s="1">
        <v>-239.84428</v>
      </c>
      <c r="N613" s="1">
        <v>-30.648260000000001</v>
      </c>
    </row>
    <row r="614" spans="1:14" x14ac:dyDescent="0.4">
      <c r="B614" s="1">
        <v>30.95</v>
      </c>
      <c r="C614" s="1" t="s">
        <v>625</v>
      </c>
      <c r="D614" s="3">
        <f t="shared" si="68"/>
        <v>1957.6363581000001</v>
      </c>
      <c r="E614" s="1">
        <v>90.074299999999994</v>
      </c>
      <c r="F614" s="1">
        <v>34.079900000000002</v>
      </c>
      <c r="G614" s="1">
        <v>16.335699999999999</v>
      </c>
      <c r="H614" s="1">
        <v>14.174899999999999</v>
      </c>
      <c r="I614" s="1">
        <v>235.77979999999999</v>
      </c>
      <c r="J614" s="1">
        <f t="shared" si="64"/>
        <v>232.3569766</v>
      </c>
      <c r="K614" s="1">
        <v>3.9722299999999962</v>
      </c>
      <c r="L614" s="1">
        <f t="shared" si="65"/>
        <v>-40.463327303370789</v>
      </c>
      <c r="M614" s="1">
        <v>-247.25225</v>
      </c>
      <c r="N614" s="1">
        <v>-31.48593</v>
      </c>
    </row>
    <row r="615" spans="1:14" x14ac:dyDescent="0.4">
      <c r="B615" s="1">
        <v>31</v>
      </c>
      <c r="C615" s="1" t="s">
        <v>626</v>
      </c>
      <c r="D615" s="3">
        <f t="shared" si="68"/>
        <v>1957.545449</v>
      </c>
      <c r="E615" s="1">
        <v>69.613600000000005</v>
      </c>
      <c r="F615" s="1">
        <v>8.8470999999999993</v>
      </c>
      <c r="G615" s="1">
        <v>4.5827999999999998</v>
      </c>
      <c r="H615" s="1">
        <v>9.2233000000000001</v>
      </c>
      <c r="I615" s="1">
        <v>35.668300000000002</v>
      </c>
      <c r="J615" s="1">
        <f t="shared" si="64"/>
        <v>33.022983199999999</v>
      </c>
      <c r="K615" s="1">
        <v>5.4167699999999854</v>
      </c>
      <c r="L615" s="1">
        <f t="shared" si="65"/>
        <v>51.061362247191013</v>
      </c>
      <c r="M615" s="1">
        <v>-255.03439</v>
      </c>
      <c r="N615" s="1">
        <v>-32.071309999999997</v>
      </c>
    </row>
    <row r="616" spans="1:14" x14ac:dyDescent="0.4">
      <c r="B616" s="1">
        <v>31.05</v>
      </c>
      <c r="C616" s="1" t="s">
        <v>627</v>
      </c>
      <c r="D616" s="3">
        <f t="shared" si="68"/>
        <v>1957.4545398999999</v>
      </c>
      <c r="E616" s="1">
        <v>105.66759999999999</v>
      </c>
      <c r="F616" s="1">
        <v>8.4902999999999995</v>
      </c>
      <c r="G616" s="1">
        <v>30.4559</v>
      </c>
      <c r="H616" s="1">
        <v>13.115</v>
      </c>
      <c r="I616" s="1">
        <v>333.2919</v>
      </c>
      <c r="J616" s="1">
        <f t="shared" si="64"/>
        <v>329.27653120000002</v>
      </c>
      <c r="K616" s="1">
        <v>5.3418000000000063</v>
      </c>
      <c r="L616" s="1">
        <f t="shared" si="65"/>
        <v>-79.319215280898902</v>
      </c>
      <c r="M616" s="1">
        <v>-261.63054</v>
      </c>
      <c r="N616" s="1">
        <v>-33.031730000000003</v>
      </c>
    </row>
    <row r="617" spans="1:14" x14ac:dyDescent="0.4">
      <c r="B617" s="1">
        <v>31.1</v>
      </c>
      <c r="C617" s="1" t="s">
        <v>628</v>
      </c>
      <c r="D617" s="3">
        <f t="shared" si="68"/>
        <v>1957.3636308</v>
      </c>
      <c r="E617" s="1">
        <v>24.825500000000002</v>
      </c>
      <c r="F617" s="1">
        <v>6.1763000000000003</v>
      </c>
      <c r="G617" s="1">
        <v>5.1041999999999996</v>
      </c>
      <c r="H617" s="1">
        <v>4.7436999999999996</v>
      </c>
      <c r="I617" s="1">
        <v>58.726100000000002</v>
      </c>
      <c r="J617" s="1">
        <f t="shared" si="64"/>
        <v>57.782731000000005</v>
      </c>
      <c r="K617" s="1">
        <v>4.6351899999999944</v>
      </c>
      <c r="L617" s="1">
        <f t="shared" si="65"/>
        <v>-7.6367084269662904</v>
      </c>
      <c r="M617" s="1">
        <v>-260.17779000000002</v>
      </c>
      <c r="N617" s="1">
        <v>-32.881180000000001</v>
      </c>
    </row>
    <row r="618" spans="1:14" x14ac:dyDescent="0.4">
      <c r="B618" s="1">
        <v>31.15</v>
      </c>
      <c r="C618" s="1" t="s">
        <v>629</v>
      </c>
      <c r="D618" s="3">
        <f t="shared" si="68"/>
        <v>1957.2727216999999</v>
      </c>
      <c r="E618" s="1">
        <v>91.963099999999997</v>
      </c>
      <c r="F618" s="1">
        <v>29.24</v>
      </c>
      <c r="G618" s="1">
        <v>26.7484</v>
      </c>
      <c r="H618" s="1">
        <v>12.3888</v>
      </c>
      <c r="I618" s="1">
        <v>280.22829999999999</v>
      </c>
      <c r="J618" s="1">
        <f t="shared" si="64"/>
        <v>276.73370219999998</v>
      </c>
      <c r="K618" s="1">
        <v>1.5360899999999731</v>
      </c>
      <c r="L618" s="1">
        <f t="shared" si="65"/>
        <v>-63.5052720224719</v>
      </c>
      <c r="M618" s="1">
        <v>-255.56874999999999</v>
      </c>
      <c r="N618" s="1">
        <v>-32.369419999999998</v>
      </c>
    </row>
    <row r="619" spans="1:14" x14ac:dyDescent="0.4">
      <c r="B619" s="1">
        <v>31.2</v>
      </c>
      <c r="C619" s="1" t="s">
        <v>630</v>
      </c>
      <c r="D619" s="3">
        <f t="shared" si="68"/>
        <v>1957.1818126000001</v>
      </c>
      <c r="E619" s="1">
        <v>21.2836</v>
      </c>
      <c r="F619" s="1">
        <v>12.623900000000001</v>
      </c>
      <c r="G619" s="1">
        <v>5.2504999999999997</v>
      </c>
      <c r="H619" s="1">
        <v>3.1554000000000002</v>
      </c>
      <c r="I619" s="1">
        <v>45.925800000000002</v>
      </c>
      <c r="J619" s="1">
        <f t="shared" si="64"/>
        <v>45.117023200000006</v>
      </c>
      <c r="K619" s="1">
        <v>2.6233000000000288</v>
      </c>
      <c r="L619" s="1">
        <f t="shared" si="65"/>
        <v>-4.0630422471910137</v>
      </c>
      <c r="M619" s="1">
        <v>-236.51223999999999</v>
      </c>
      <c r="N619" s="1">
        <v>-30.441890000000001</v>
      </c>
    </row>
    <row r="620" spans="1:14" x14ac:dyDescent="0.4">
      <c r="B620" s="1">
        <v>31.25</v>
      </c>
      <c r="C620" s="1" t="s">
        <v>631</v>
      </c>
      <c r="D620" s="3">
        <f t="shared" si="68"/>
        <v>1957.0909035</v>
      </c>
      <c r="E620" s="1">
        <v>30.3551</v>
      </c>
      <c r="F620" s="1">
        <v>16.4053</v>
      </c>
      <c r="G620" s="1">
        <v>13.403600000000001</v>
      </c>
      <c r="H620" s="1">
        <v>5.992</v>
      </c>
      <c r="I620" s="1">
        <v>157.61359999999999</v>
      </c>
      <c r="J620" s="1">
        <f t="shared" si="64"/>
        <v>156.46010619999998</v>
      </c>
      <c r="K620" s="1">
        <v>2.8716499999999883</v>
      </c>
      <c r="L620" s="1">
        <f t="shared" si="65"/>
        <v>-57.543836067415718</v>
      </c>
      <c r="M620" s="1">
        <v>-231.09693999999999</v>
      </c>
      <c r="N620" s="1">
        <v>-29.811240000000002</v>
      </c>
    </row>
    <row r="621" spans="1:14" x14ac:dyDescent="0.4">
      <c r="A621" s="1">
        <v>1957</v>
      </c>
      <c r="B621" s="1">
        <v>31.3</v>
      </c>
      <c r="C621" s="1" t="s">
        <v>632</v>
      </c>
      <c r="D621" s="3">
        <f>-2.857143*B621+2046.428571</f>
        <v>1956.9999951</v>
      </c>
      <c r="E621" s="1">
        <v>14.5855</v>
      </c>
      <c r="F621" s="1">
        <v>8.6874000000000002</v>
      </c>
      <c r="G621" s="1">
        <v>2.7395999999999998</v>
      </c>
      <c r="H621" s="1">
        <v>1.9113</v>
      </c>
      <c r="I621" s="1">
        <v>31.017900000000001</v>
      </c>
      <c r="J621" s="1">
        <f t="shared" si="64"/>
        <v>30.463651000000002</v>
      </c>
      <c r="K621" s="1">
        <v>3.3866099999999904</v>
      </c>
      <c r="L621" s="1">
        <f t="shared" si="65"/>
        <v>-2.5289106741573057</v>
      </c>
      <c r="M621" s="1">
        <v>-210.28011000000001</v>
      </c>
      <c r="N621" s="1">
        <v>-27.406780000000001</v>
      </c>
    </row>
    <row r="622" spans="1:14" x14ac:dyDescent="0.4">
      <c r="B622" s="1">
        <v>31.35</v>
      </c>
      <c r="C622" s="1" t="s">
        <v>633</v>
      </c>
      <c r="D622" s="3">
        <f t="shared" ref="D622:D627" si="69">-2.857143*B622+2046.428571</f>
        <v>1956.8571379499999</v>
      </c>
      <c r="E622" s="1">
        <v>72.594399999999993</v>
      </c>
      <c r="F622" s="1">
        <v>11.0289</v>
      </c>
      <c r="G622" s="1">
        <v>15.385</v>
      </c>
      <c r="H622" s="1">
        <v>9.0459999999999994</v>
      </c>
      <c r="I622" s="1">
        <v>171.2449</v>
      </c>
      <c r="J622" s="1">
        <f t="shared" si="64"/>
        <v>168.48631280000001</v>
      </c>
      <c r="K622" s="1">
        <v>7.0228800000000149</v>
      </c>
      <c r="L622" s="1">
        <f t="shared" si="65"/>
        <v>-22.06083191011237</v>
      </c>
      <c r="M622" s="1">
        <v>-203.48096000000001</v>
      </c>
      <c r="N622" s="1">
        <v>-26.57546</v>
      </c>
    </row>
    <row r="623" spans="1:14" x14ac:dyDescent="0.4">
      <c r="B623" s="1">
        <v>31.4</v>
      </c>
      <c r="C623" s="1" t="s">
        <v>634</v>
      </c>
      <c r="D623" s="3">
        <f t="shared" si="69"/>
        <v>1956.7142807999999</v>
      </c>
      <c r="E623" s="1">
        <v>20.7102</v>
      </c>
      <c r="F623" s="1">
        <v>7.9291999999999998</v>
      </c>
      <c r="G623" s="1">
        <v>2.5588000000000002</v>
      </c>
      <c r="H623" s="1">
        <v>2.4759000000000002</v>
      </c>
      <c r="I623" s="1">
        <v>33.572600000000001</v>
      </c>
      <c r="J623" s="1">
        <f t="shared" si="64"/>
        <v>32.785612399999998</v>
      </c>
      <c r="K623" s="1">
        <v>7.3929800000000228</v>
      </c>
      <c r="L623" s="1">
        <f t="shared" si="65"/>
        <v>2.2913166292134832</v>
      </c>
      <c r="M623" s="1">
        <v>-204.67080000000001</v>
      </c>
      <c r="N623" s="1">
        <v>-26.193639999999998</v>
      </c>
    </row>
    <row r="624" spans="1:14" x14ac:dyDescent="0.4">
      <c r="B624" s="1">
        <v>31.45</v>
      </c>
      <c r="C624" s="1" t="s">
        <v>635</v>
      </c>
      <c r="D624" s="3">
        <f t="shared" si="69"/>
        <v>1956.5714236499998</v>
      </c>
      <c r="E624" s="1">
        <v>52.1648</v>
      </c>
      <c r="F624" s="1">
        <v>46.081400000000002</v>
      </c>
      <c r="G624" s="1">
        <v>14.1668</v>
      </c>
      <c r="H624" s="1">
        <v>7.2557</v>
      </c>
      <c r="I624" s="1">
        <v>243.27680000000001</v>
      </c>
      <c r="J624" s="1">
        <f t="shared" si="64"/>
        <v>241.29453760000001</v>
      </c>
      <c r="K624" s="1">
        <v>8.9741300000000024</v>
      </c>
      <c r="L624" s="1">
        <f t="shared" si="65"/>
        <v>-83.393928988764046</v>
      </c>
      <c r="N624" s="1">
        <v>-27.852060000000002</v>
      </c>
    </row>
    <row r="625" spans="1:14" x14ac:dyDescent="0.4">
      <c r="B625" s="1">
        <v>31.5</v>
      </c>
      <c r="C625" s="1" t="s">
        <v>636</v>
      </c>
      <c r="D625" s="3">
        <f t="shared" si="69"/>
        <v>1956.4285665</v>
      </c>
      <c r="E625" s="1">
        <v>15.6174</v>
      </c>
      <c r="F625" s="1">
        <v>10.8887</v>
      </c>
      <c r="G625" s="1">
        <v>2.1333000000000002</v>
      </c>
      <c r="H625" s="1">
        <v>2.5105</v>
      </c>
      <c r="I625" s="1">
        <v>32.748699999999999</v>
      </c>
      <c r="J625" s="1">
        <f t="shared" si="64"/>
        <v>32.155238799999999</v>
      </c>
      <c r="K625" s="1">
        <v>9.1227199999999868</v>
      </c>
      <c r="L625" s="1">
        <f t="shared" si="65"/>
        <v>-2.4473408988764049</v>
      </c>
      <c r="M625" s="1">
        <v>-220.17222000000001</v>
      </c>
      <c r="N625" s="1">
        <v>-28.0032</v>
      </c>
    </row>
    <row r="626" spans="1:14" x14ac:dyDescent="0.4">
      <c r="B626" s="1">
        <v>31.55</v>
      </c>
      <c r="C626" s="1" t="s">
        <v>637</v>
      </c>
      <c r="D626" s="3">
        <f t="shared" si="69"/>
        <v>1956.2857093499999</v>
      </c>
      <c r="E626" s="1">
        <v>139.8827</v>
      </c>
      <c r="F626" s="1">
        <v>47.448399999999999</v>
      </c>
      <c r="G626" s="1">
        <v>18.0213</v>
      </c>
      <c r="H626" s="1">
        <v>14.5627</v>
      </c>
      <c r="I626" s="1">
        <v>158.26679999999999</v>
      </c>
      <c r="J626" s="1">
        <f t="shared" si="64"/>
        <v>152.9512574</v>
      </c>
      <c r="K626" s="1">
        <v>4.8783199999999738</v>
      </c>
      <c r="L626" s="1">
        <f t="shared" si="65"/>
        <v>53.955027303370784</v>
      </c>
      <c r="M626" s="1">
        <v>-228.31039999999999</v>
      </c>
      <c r="N626" s="1">
        <v>-29.002099999999999</v>
      </c>
    </row>
    <row r="627" spans="1:14" x14ac:dyDescent="0.4">
      <c r="B627" s="1">
        <v>31.6</v>
      </c>
      <c r="C627" s="1" t="s">
        <v>638</v>
      </c>
      <c r="D627" s="3">
        <f t="shared" si="69"/>
        <v>1956.1428521999999</v>
      </c>
      <c r="E627" s="1">
        <v>76.492900000000006</v>
      </c>
      <c r="F627" s="1">
        <v>11.626799999999999</v>
      </c>
      <c r="G627" s="1">
        <v>2.6770999999999998</v>
      </c>
      <c r="H627" s="1">
        <v>11.3422</v>
      </c>
      <c r="I627" s="1">
        <v>34.103999999999999</v>
      </c>
      <c r="J627" s="1">
        <f t="shared" si="64"/>
        <v>31.197269800000001</v>
      </c>
      <c r="L627" s="1">
        <f t="shared" si="65"/>
        <v>58.96634393258428</v>
      </c>
      <c r="M627" s="1">
        <v>-228.43996000000001</v>
      </c>
      <c r="N627" s="1">
        <v>-28.917000000000002</v>
      </c>
    </row>
    <row r="628" spans="1:14" x14ac:dyDescent="0.4">
      <c r="A628" s="1">
        <v>1956</v>
      </c>
      <c r="B628" s="1">
        <v>31.65</v>
      </c>
      <c r="C628" s="1" t="s">
        <v>639</v>
      </c>
      <c r="D628" s="3">
        <f>-1.3333333*B628+1998.2</f>
        <v>1956.000001055</v>
      </c>
      <c r="E628" s="1">
        <v>58.457299999999996</v>
      </c>
      <c r="F628" s="1">
        <v>59.679699999999997</v>
      </c>
      <c r="G628" s="1">
        <v>15.0746</v>
      </c>
      <c r="H628" s="1">
        <v>11.7057</v>
      </c>
      <c r="I628" s="1">
        <v>271.1044</v>
      </c>
      <c r="J628" s="1">
        <f t="shared" si="64"/>
        <v>268.8830226</v>
      </c>
      <c r="K628" s="1">
        <v>3.8533799999999871</v>
      </c>
      <c r="L628" s="1">
        <f t="shared" si="65"/>
        <v>-92.600577865168532</v>
      </c>
      <c r="M628" s="1">
        <v>-228.22609</v>
      </c>
      <c r="N628" s="1">
        <v>-28.899000000000001</v>
      </c>
    </row>
    <row r="629" spans="1:14" x14ac:dyDescent="0.4">
      <c r="B629" s="1">
        <v>31.7</v>
      </c>
      <c r="C629" s="1" t="s">
        <v>640</v>
      </c>
      <c r="D629" s="3">
        <f t="shared" ref="D629:D642" si="70">-1.3333333*B629+1998.2</f>
        <v>1955.93333439</v>
      </c>
      <c r="E629" s="1">
        <v>23.533000000000001</v>
      </c>
      <c r="F629" s="1">
        <v>17.159400000000002</v>
      </c>
      <c r="G629" s="1">
        <v>3.3654999999999999</v>
      </c>
      <c r="H629" s="1">
        <v>4.4276</v>
      </c>
      <c r="I629" s="1">
        <v>43.191000000000003</v>
      </c>
      <c r="J629" s="1">
        <f t="shared" si="64"/>
        <v>42.296746000000006</v>
      </c>
      <c r="K629" s="1">
        <v>3.7064000000000021</v>
      </c>
      <c r="L629" s="1">
        <f t="shared" si="65"/>
        <v>-0.22921685393258429</v>
      </c>
      <c r="M629" s="1">
        <v>-223.20705000000001</v>
      </c>
      <c r="N629" s="1">
        <v>-28.005099999999999</v>
      </c>
    </row>
    <row r="630" spans="1:14" x14ac:dyDescent="0.4">
      <c r="B630" s="1">
        <v>31.75</v>
      </c>
      <c r="C630" s="1" t="s">
        <v>641</v>
      </c>
      <c r="D630" s="3">
        <f t="shared" si="70"/>
        <v>1955.8666677250001</v>
      </c>
      <c r="E630" s="1">
        <v>33.838099999999997</v>
      </c>
      <c r="F630" s="1">
        <v>55.7102</v>
      </c>
      <c r="G630" s="1">
        <v>13.0861</v>
      </c>
      <c r="H630" s="1">
        <v>5.5667</v>
      </c>
      <c r="I630" s="1">
        <v>242.1935</v>
      </c>
      <c r="J630" s="1">
        <f t="shared" si="64"/>
        <v>240.9076522</v>
      </c>
      <c r="K630" s="1">
        <v>2.8960399999999993</v>
      </c>
      <c r="L630" s="1">
        <f t="shared" si="65"/>
        <v>-101.50327764044943</v>
      </c>
      <c r="M630" s="1">
        <v>-216.52009000000001</v>
      </c>
      <c r="N630" s="1">
        <v>-27.098700000000001</v>
      </c>
    </row>
    <row r="631" spans="1:14" x14ac:dyDescent="0.4">
      <c r="B631" s="1">
        <v>31.8</v>
      </c>
      <c r="C631" s="1" t="s">
        <v>642</v>
      </c>
      <c r="D631" s="3">
        <f t="shared" si="70"/>
        <v>1955.8000010600001</v>
      </c>
      <c r="E631" s="1">
        <v>10.2936</v>
      </c>
      <c r="F631" s="1">
        <v>7.9413</v>
      </c>
      <c r="G631" s="1">
        <v>2.6257000000000001</v>
      </c>
      <c r="H631" s="1">
        <v>1.7637</v>
      </c>
      <c r="I631" s="1">
        <v>44.296999999999997</v>
      </c>
      <c r="J631" s="1">
        <f t="shared" si="64"/>
        <v>43.9058432</v>
      </c>
      <c r="K631" s="1">
        <v>2.965910000000008</v>
      </c>
      <c r="L631" s="1">
        <f t="shared" si="65"/>
        <v>-14.372604044943818</v>
      </c>
      <c r="M631" s="1">
        <v>-216.38073</v>
      </c>
      <c r="N631" s="1">
        <v>-27.1998</v>
      </c>
    </row>
    <row r="632" spans="1:14" x14ac:dyDescent="0.4">
      <c r="B632" s="1">
        <v>31.85</v>
      </c>
      <c r="C632" s="1" t="s">
        <v>643</v>
      </c>
      <c r="D632" s="3">
        <f t="shared" si="70"/>
        <v>1955.7333343949999</v>
      </c>
      <c r="E632" s="1">
        <v>71.398799999999994</v>
      </c>
      <c r="F632" s="1">
        <v>28.600200000000001</v>
      </c>
      <c r="G632" s="1">
        <v>20.241399999999999</v>
      </c>
      <c r="H632" s="1">
        <v>9.6120000000000001</v>
      </c>
      <c r="I632" s="1">
        <v>385.35950000000003</v>
      </c>
      <c r="J632" s="1">
        <f t="shared" si="64"/>
        <v>382.64634560000002</v>
      </c>
      <c r="K632" s="1">
        <v>0.83374999999998067</v>
      </c>
      <c r="L632" s="1">
        <f t="shared" si="65"/>
        <v>-143.57105707865171</v>
      </c>
      <c r="M632" s="1">
        <v>-222.92743999999999</v>
      </c>
      <c r="N632" s="1">
        <v>-28.099900000000002</v>
      </c>
    </row>
    <row r="633" spans="1:14" x14ac:dyDescent="0.4">
      <c r="B633" s="1">
        <v>31.9</v>
      </c>
      <c r="C633" s="1" t="s">
        <v>644</v>
      </c>
      <c r="D633" s="3">
        <f t="shared" si="70"/>
        <v>1955.66666773</v>
      </c>
      <c r="E633" s="1">
        <v>174.31039999999999</v>
      </c>
      <c r="F633" s="1">
        <v>47.3643</v>
      </c>
      <c r="G633" s="1">
        <v>125.28189999999999</v>
      </c>
      <c r="H633" s="1">
        <v>17.579999999999998</v>
      </c>
      <c r="I633" s="1">
        <v>182.24809999999999</v>
      </c>
      <c r="J633" s="1">
        <f t="shared" si="64"/>
        <v>175.6243048</v>
      </c>
      <c r="K633" s="1">
        <v>0.26950999999999681</v>
      </c>
      <c r="L633" s="1">
        <f t="shared" si="65"/>
        <v>75.645060224719089</v>
      </c>
      <c r="M633" s="1">
        <v>-233.04799</v>
      </c>
      <c r="N633" s="1">
        <v>-29.000900000000001</v>
      </c>
    </row>
    <row r="634" spans="1:14" x14ac:dyDescent="0.4">
      <c r="B634" s="1">
        <v>31.95</v>
      </c>
      <c r="C634" s="1" t="s">
        <v>645</v>
      </c>
      <c r="D634" s="3">
        <f t="shared" si="70"/>
        <v>1955.600001065</v>
      </c>
      <c r="E634" s="1">
        <v>102.0676</v>
      </c>
      <c r="F634" s="1">
        <v>19.606200000000001</v>
      </c>
      <c r="G634" s="1">
        <v>13.5977</v>
      </c>
      <c r="H634" s="1">
        <v>13.369300000000001</v>
      </c>
      <c r="I634" s="1">
        <v>256.52210000000002</v>
      </c>
      <c r="J634" s="1">
        <f t="shared" si="64"/>
        <v>252.64353120000001</v>
      </c>
      <c r="K634" s="1">
        <v>1.2176699999999983</v>
      </c>
      <c r="L634" s="1">
        <f t="shared" si="65"/>
        <v>-39.866968089887649</v>
      </c>
      <c r="M634" s="1">
        <v>-241.67241000000001</v>
      </c>
      <c r="N634" s="1">
        <v>-30.011199999999999</v>
      </c>
    </row>
    <row r="635" spans="1:14" x14ac:dyDescent="0.4">
      <c r="B635" s="1">
        <v>32</v>
      </c>
      <c r="C635" s="1" t="s">
        <v>646</v>
      </c>
      <c r="D635" s="3">
        <f t="shared" si="70"/>
        <v>1955.5333344000001</v>
      </c>
      <c r="E635" s="1">
        <v>20.720600000000001</v>
      </c>
      <c r="F635" s="1">
        <v>13.581799999999999</v>
      </c>
      <c r="G635" s="1">
        <v>3.0589</v>
      </c>
      <c r="H635" s="1">
        <v>2.7035</v>
      </c>
      <c r="I635" s="1">
        <v>56.238900000000001</v>
      </c>
      <c r="J635" s="1">
        <f t="shared" si="64"/>
        <v>55.451517199999998</v>
      </c>
      <c r="K635" s="1">
        <v>1.8717600000000232</v>
      </c>
      <c r="L635" s="1">
        <f t="shared" si="65"/>
        <v>-10.431937752808984</v>
      </c>
      <c r="M635" s="1">
        <v>-249.14026999999999</v>
      </c>
      <c r="N635" s="1">
        <v>-31.0351</v>
      </c>
    </row>
    <row r="636" spans="1:14" x14ac:dyDescent="0.4">
      <c r="B636" s="1">
        <v>32.049999999999997</v>
      </c>
      <c r="C636" s="1" t="s">
        <v>647</v>
      </c>
      <c r="D636" s="3">
        <f t="shared" si="70"/>
        <v>1955.4666677350001</v>
      </c>
      <c r="E636" s="1">
        <v>48.260399999999997</v>
      </c>
      <c r="F636" s="1">
        <v>71.820999999999998</v>
      </c>
      <c r="G636" s="1">
        <v>17.522200000000002</v>
      </c>
      <c r="H636" s="1">
        <v>7.3973000000000004</v>
      </c>
      <c r="I636" s="1">
        <v>336.8254</v>
      </c>
      <c r="J636" s="1">
        <f t="shared" si="64"/>
        <v>334.99150480000003</v>
      </c>
      <c r="K636" s="1">
        <v>-1.040789999999987</v>
      </c>
      <c r="L636" s="1">
        <f t="shared" si="65"/>
        <v>-139.93707460674159</v>
      </c>
      <c r="M636" s="1">
        <v>-251.09786</v>
      </c>
      <c r="N636" s="1">
        <v>-31.400300000000001</v>
      </c>
    </row>
    <row r="637" spans="1:14" x14ac:dyDescent="0.4">
      <c r="B637" s="1">
        <v>32.1</v>
      </c>
      <c r="C637" s="1" t="s">
        <v>648</v>
      </c>
      <c r="D637" s="3">
        <f t="shared" si="70"/>
        <v>1955.4000010700001</v>
      </c>
      <c r="E637" s="1">
        <v>39.432200000000002</v>
      </c>
      <c r="F637" s="1">
        <v>13.3812</v>
      </c>
      <c r="G637" s="1">
        <v>6.484</v>
      </c>
      <c r="H637" s="1">
        <v>5.1905000000000001</v>
      </c>
      <c r="I637" s="1">
        <v>47.370699999999999</v>
      </c>
      <c r="J637" s="1">
        <f t="shared" si="64"/>
        <v>45.872276399999997</v>
      </c>
      <c r="K637" s="1">
        <v>-1.5828100000000234</v>
      </c>
      <c r="L637" s="1">
        <f t="shared" si="65"/>
        <v>13.661258202247193</v>
      </c>
      <c r="M637" s="1">
        <v>-252.32906</v>
      </c>
      <c r="N637" s="1">
        <v>-31.532399999999999</v>
      </c>
    </row>
    <row r="638" spans="1:14" x14ac:dyDescent="0.4">
      <c r="B638" s="1">
        <v>32.15</v>
      </c>
      <c r="C638" s="1" t="s">
        <v>649</v>
      </c>
      <c r="D638" s="3">
        <f t="shared" si="70"/>
        <v>1955.333334405</v>
      </c>
      <c r="E638" s="1">
        <v>307.94630000000001</v>
      </c>
      <c r="F638" s="1">
        <v>55.428100000000001</v>
      </c>
      <c r="G638" s="1">
        <v>30.719799999999999</v>
      </c>
      <c r="H638" s="1">
        <v>72.531899999999993</v>
      </c>
      <c r="I638" s="1">
        <v>381.91750000000002</v>
      </c>
      <c r="J638" s="1">
        <f t="shared" si="64"/>
        <v>370.2155406</v>
      </c>
      <c r="K638" s="1">
        <v>-0.85946999999998752</v>
      </c>
      <c r="L638" s="1">
        <f t="shared" si="65"/>
        <v>99.96004123595506</v>
      </c>
      <c r="M638" s="1">
        <v>-251.85426000000001</v>
      </c>
      <c r="N638" s="1">
        <v>-31.6111</v>
      </c>
    </row>
    <row r="639" spans="1:14" x14ac:dyDescent="0.4">
      <c r="B639" s="1">
        <v>32.200000000000003</v>
      </c>
      <c r="C639" s="1" t="s">
        <v>650</v>
      </c>
      <c r="D639" s="3">
        <f t="shared" si="70"/>
        <v>1955.26666774</v>
      </c>
      <c r="E639" s="1">
        <v>310.93329999999997</v>
      </c>
      <c r="F639" s="1">
        <v>11.1114</v>
      </c>
      <c r="G639" s="1">
        <v>8.8033000000000001</v>
      </c>
      <c r="H639" s="1">
        <v>18.389900000000001</v>
      </c>
      <c r="I639" s="1">
        <v>37.819000000000003</v>
      </c>
      <c r="J639" s="1">
        <f t="shared" si="64"/>
        <v>26.003534600000002</v>
      </c>
      <c r="K639" s="1">
        <v>0.10454000000001429</v>
      </c>
      <c r="L639" s="1">
        <f t="shared" si="65"/>
        <v>296.32457269662916</v>
      </c>
      <c r="M639" s="1">
        <v>-252.48448999999999</v>
      </c>
      <c r="N639" s="1">
        <v>-31.632400000000001</v>
      </c>
    </row>
    <row r="640" spans="1:14" x14ac:dyDescent="0.4">
      <c r="B640" s="1">
        <v>32.25</v>
      </c>
      <c r="C640" s="1" t="s">
        <v>651</v>
      </c>
      <c r="D640" s="3">
        <f t="shared" si="70"/>
        <v>1955.200001075</v>
      </c>
      <c r="E640" s="1">
        <v>562.12199999999996</v>
      </c>
      <c r="F640" s="1">
        <v>10.6843</v>
      </c>
      <c r="G640" s="1">
        <v>27.824300000000001</v>
      </c>
      <c r="H640" s="1">
        <v>80.657700000000006</v>
      </c>
      <c r="I640" s="1">
        <v>311.21600000000001</v>
      </c>
      <c r="J640" s="1">
        <f t="shared" si="64"/>
        <v>289.85536400000001</v>
      </c>
      <c r="K640" s="1">
        <v>-6.9860000000005584E-2</v>
      </c>
      <c r="L640" s="1">
        <f t="shared" si="65"/>
        <v>399.28190786516848</v>
      </c>
      <c r="M640" s="1">
        <v>-258.68473999999998</v>
      </c>
      <c r="N640" s="1">
        <v>-32.511200000000002</v>
      </c>
    </row>
    <row r="641" spans="1:14" x14ac:dyDescent="0.4">
      <c r="B641" s="1">
        <v>32.299999999999997</v>
      </c>
      <c r="C641" s="1" t="s">
        <v>652</v>
      </c>
      <c r="D641" s="3">
        <f t="shared" si="70"/>
        <v>1955.1333344100001</v>
      </c>
      <c r="E641" s="1">
        <v>221.62739999999999</v>
      </c>
      <c r="F641" s="1">
        <v>12.225300000000001</v>
      </c>
      <c r="G641" s="1">
        <v>8.0984999999999996</v>
      </c>
      <c r="H641" s="1">
        <v>23.596499999999999</v>
      </c>
      <c r="I641" s="1">
        <v>48.755099999999999</v>
      </c>
      <c r="J641" s="1">
        <f t="shared" si="64"/>
        <v>40.333258799999996</v>
      </c>
      <c r="K641" s="1">
        <v>1.0345399999999927</v>
      </c>
      <c r="L641" s="1">
        <f t="shared" si="65"/>
        <v>198.96826584269664</v>
      </c>
      <c r="M641" s="1">
        <v>-259.41991999999999</v>
      </c>
      <c r="N641" s="1">
        <v>-32.500900000000001</v>
      </c>
    </row>
    <row r="642" spans="1:14" x14ac:dyDescent="0.4">
      <c r="B642" s="1">
        <v>32.35</v>
      </c>
      <c r="C642" s="1" t="s">
        <v>653</v>
      </c>
      <c r="D642" s="3">
        <f t="shared" si="70"/>
        <v>1955.0666677450001</v>
      </c>
      <c r="E642" s="1">
        <v>280.05040000000002</v>
      </c>
      <c r="F642" s="1">
        <v>16.1953</v>
      </c>
      <c r="G642" s="1">
        <v>33.228299999999997</v>
      </c>
      <c r="H642" s="1">
        <v>55.978499999999997</v>
      </c>
      <c r="I642" s="1">
        <v>198.0992</v>
      </c>
      <c r="J642" s="1">
        <f t="shared" si="64"/>
        <v>187.4572848</v>
      </c>
      <c r="K642" s="1">
        <v>0.57471000000001027</v>
      </c>
      <c r="L642" s="1">
        <f t="shared" si="65"/>
        <v>174.73731865168543</v>
      </c>
      <c r="M642" s="1">
        <v>-254.88385</v>
      </c>
      <c r="N642" s="1">
        <v>-32.0045</v>
      </c>
    </row>
    <row r="643" spans="1:14" x14ac:dyDescent="0.4">
      <c r="A643" s="1">
        <v>1955</v>
      </c>
      <c r="B643" s="1">
        <v>32.4</v>
      </c>
      <c r="C643" s="1" t="s">
        <v>654</v>
      </c>
      <c r="D643" s="3">
        <f t="shared" ref="D643:D648" si="71">-3.33333333*B643+2063</f>
        <v>1955.000000108</v>
      </c>
      <c r="E643" s="1">
        <v>15.13</v>
      </c>
      <c r="F643" s="1">
        <v>6.468</v>
      </c>
      <c r="G643" s="1">
        <v>1.6977</v>
      </c>
      <c r="H643" s="1">
        <v>2.4735999999999998</v>
      </c>
      <c r="I643" s="1">
        <v>31.543399999999998</v>
      </c>
      <c r="J643" s="1">
        <f t="shared" ref="J643:J706" si="72">I643-0.038*E643</f>
        <v>30.968459999999997</v>
      </c>
      <c r="K643" s="1">
        <v>1.404860000000042</v>
      </c>
      <c r="L643" s="1">
        <f t="shared" ref="L643:L706" si="73">E643-(J643/1.78)</f>
        <v>-2.2680112359550524</v>
      </c>
      <c r="M643" s="1">
        <v>-247.11518000000001</v>
      </c>
      <c r="N643" s="1">
        <v>-30.600100000000001</v>
      </c>
    </row>
    <row r="644" spans="1:14" x14ac:dyDescent="0.4">
      <c r="B644" s="1">
        <v>32.450000000000003</v>
      </c>
      <c r="C644" s="1" t="s">
        <v>655</v>
      </c>
      <c r="D644" s="3">
        <f t="shared" si="71"/>
        <v>1954.8333334414999</v>
      </c>
      <c r="E644" s="1">
        <v>22.709099999999999</v>
      </c>
      <c r="F644" s="1">
        <v>57.591500000000003</v>
      </c>
      <c r="G644" s="1">
        <v>10.7859</v>
      </c>
      <c r="H644" s="1">
        <v>4.0697000000000001</v>
      </c>
      <c r="I644" s="1">
        <v>213.05940000000001</v>
      </c>
      <c r="J644" s="1">
        <f t="shared" si="72"/>
        <v>212.19645420000001</v>
      </c>
      <c r="K644" s="1">
        <v>0.58728000000002112</v>
      </c>
      <c r="L644" s="1">
        <f t="shared" si="73"/>
        <v>-96.502391123595515</v>
      </c>
      <c r="M644" s="1">
        <v>-234.37851000000001</v>
      </c>
      <c r="N644" s="1">
        <v>-29.880610000000001</v>
      </c>
    </row>
    <row r="645" spans="1:14" x14ac:dyDescent="0.4">
      <c r="B645" s="1">
        <v>32.5</v>
      </c>
      <c r="C645" s="1" t="s">
        <v>656</v>
      </c>
      <c r="D645" s="3">
        <f t="shared" si="71"/>
        <v>1954.6666667750001</v>
      </c>
      <c r="E645" s="1">
        <v>27.2483</v>
      </c>
      <c r="F645" s="1">
        <v>6.0107999999999997</v>
      </c>
      <c r="G645" s="1">
        <v>2.3757999999999999</v>
      </c>
      <c r="H645" s="1">
        <v>3.839</v>
      </c>
      <c r="I645" s="1">
        <v>34.859099999999998</v>
      </c>
      <c r="J645" s="1">
        <f t="shared" si="72"/>
        <v>33.823664600000001</v>
      </c>
      <c r="K645" s="1">
        <v>1.152150000000006</v>
      </c>
      <c r="L645" s="1">
        <f t="shared" si="73"/>
        <v>8.2462412359550576</v>
      </c>
      <c r="M645" s="1">
        <v>-231.03030999999999</v>
      </c>
      <c r="N645" s="1">
        <v>-29.74879</v>
      </c>
    </row>
    <row r="646" spans="1:14" x14ac:dyDescent="0.4">
      <c r="B646" s="1">
        <v>32.549999999999997</v>
      </c>
      <c r="C646" s="1" t="s">
        <v>657</v>
      </c>
      <c r="D646" s="3">
        <f t="shared" si="71"/>
        <v>1954.5000001085</v>
      </c>
      <c r="E646" s="1">
        <v>35.610700000000001</v>
      </c>
      <c r="F646" s="1">
        <v>48.497</v>
      </c>
      <c r="G646" s="1">
        <v>17.053100000000001</v>
      </c>
      <c r="H646" s="1">
        <v>8.875</v>
      </c>
      <c r="I646" s="1">
        <v>437.88440000000003</v>
      </c>
      <c r="J646" s="1">
        <f t="shared" si="72"/>
        <v>436.53119340000001</v>
      </c>
      <c r="K646" s="1">
        <v>-2.3143799999999999</v>
      </c>
      <c r="L646" s="1">
        <f t="shared" si="73"/>
        <v>-209.63154348314606</v>
      </c>
      <c r="M646" s="1">
        <v>-230.81864999999999</v>
      </c>
      <c r="N646" s="1">
        <v>-29.7791</v>
      </c>
    </row>
    <row r="647" spans="1:14" x14ac:dyDescent="0.4">
      <c r="B647" s="1">
        <v>32.6</v>
      </c>
      <c r="C647" s="1" t="s">
        <v>658</v>
      </c>
      <c r="D647" s="3">
        <f t="shared" si="71"/>
        <v>1954.3333334419999</v>
      </c>
      <c r="E647" s="1">
        <v>14.476000000000001</v>
      </c>
      <c r="F647" s="1">
        <v>8.0843000000000007</v>
      </c>
      <c r="G647" s="1">
        <v>3.4123999999999999</v>
      </c>
      <c r="H647" s="1">
        <v>2.4483999999999999</v>
      </c>
      <c r="I647" s="1">
        <v>32.5306</v>
      </c>
      <c r="J647" s="1">
        <f t="shared" si="72"/>
        <v>31.980512000000001</v>
      </c>
      <c r="K647" s="1">
        <v>4.6663700000000006</v>
      </c>
      <c r="L647" s="1">
        <f t="shared" si="73"/>
        <v>-3.4905797752808976</v>
      </c>
      <c r="M647" s="1">
        <v>-239.54675</v>
      </c>
      <c r="N647" s="1">
        <v>-30.829360000000001</v>
      </c>
    </row>
    <row r="648" spans="1:14" x14ac:dyDescent="0.4">
      <c r="B648" s="1">
        <v>32.65</v>
      </c>
      <c r="C648" s="1" t="s">
        <v>659</v>
      </c>
      <c r="D648" s="3">
        <f t="shared" si="71"/>
        <v>1954.1666667755001</v>
      </c>
      <c r="E648" s="1">
        <v>80.810599999999994</v>
      </c>
      <c r="F648" s="1">
        <v>38.1126</v>
      </c>
      <c r="G648" s="1">
        <v>11.2577</v>
      </c>
      <c r="H648" s="1">
        <v>9.5136000000000003</v>
      </c>
      <c r="I648" s="1">
        <v>195.25049999999999</v>
      </c>
      <c r="J648" s="1">
        <f t="shared" si="72"/>
        <v>192.17969719999999</v>
      </c>
      <c r="K648" s="1">
        <v>6.9600100000000111</v>
      </c>
      <c r="L648" s="1">
        <f t="shared" si="73"/>
        <v>-27.155522022471914</v>
      </c>
      <c r="M648" s="1">
        <v>-245.57284000000001</v>
      </c>
      <c r="N648" s="1">
        <v>-31.115649999999999</v>
      </c>
    </row>
    <row r="649" spans="1:14" x14ac:dyDescent="0.4">
      <c r="A649" s="1">
        <v>1954</v>
      </c>
      <c r="B649" s="1">
        <v>32.700000000000003</v>
      </c>
      <c r="C649" s="1" t="s">
        <v>660</v>
      </c>
      <c r="D649" s="3">
        <f>-1.333333*B649+1997.6</f>
        <v>1954.0000109</v>
      </c>
      <c r="E649" s="1">
        <v>31.681100000000001</v>
      </c>
      <c r="F649" s="1">
        <v>16.768799999999999</v>
      </c>
      <c r="G649" s="1">
        <v>13.3789</v>
      </c>
      <c r="H649" s="1">
        <v>3.7042000000000002</v>
      </c>
      <c r="I649" s="1">
        <v>25.194900000000001</v>
      </c>
      <c r="J649" s="1">
        <f t="shared" si="72"/>
        <v>23.991018199999999</v>
      </c>
      <c r="K649" s="1">
        <v>7.4141500000000065</v>
      </c>
      <c r="L649" s="1">
        <f t="shared" si="73"/>
        <v>18.202999887640452</v>
      </c>
      <c r="M649" s="1">
        <v>-243.56865999999999</v>
      </c>
      <c r="N649" s="1">
        <v>-30.96359</v>
      </c>
    </row>
    <row r="650" spans="1:14" x14ac:dyDescent="0.4">
      <c r="B650" s="1">
        <v>32.75</v>
      </c>
      <c r="C650" s="1" t="s">
        <v>661</v>
      </c>
      <c r="D650" s="3">
        <f t="shared" ref="D650:D663" si="74">-1.333333*B650+1997.6</f>
        <v>1953.9333442499999</v>
      </c>
      <c r="E650" s="1">
        <v>130.27430000000001</v>
      </c>
      <c r="F650" s="1">
        <v>59.825699999999998</v>
      </c>
      <c r="G650" s="1">
        <v>12.7997</v>
      </c>
      <c r="H650" s="1">
        <v>19.506399999999999</v>
      </c>
      <c r="I650" s="1">
        <v>163.98410000000001</v>
      </c>
      <c r="J650" s="1">
        <f t="shared" si="72"/>
        <v>159.03367660000001</v>
      </c>
      <c r="K650" s="1">
        <v>7.0881300000000067</v>
      </c>
      <c r="L650" s="1">
        <f t="shared" si="73"/>
        <v>40.929537865168541</v>
      </c>
      <c r="M650" s="1">
        <v>-240.20607000000001</v>
      </c>
      <c r="N650" s="1">
        <v>-30.445329999999998</v>
      </c>
    </row>
    <row r="651" spans="1:14" x14ac:dyDescent="0.4">
      <c r="B651" s="1">
        <v>32.799999999999997</v>
      </c>
      <c r="C651" s="1" t="s">
        <v>662</v>
      </c>
      <c r="D651" s="3">
        <f t="shared" si="74"/>
        <v>1953.8666776</v>
      </c>
      <c r="E651" s="1">
        <v>55.207299999999996</v>
      </c>
      <c r="F651" s="1">
        <v>9.1043000000000003</v>
      </c>
      <c r="G651" s="1">
        <v>3.5345</v>
      </c>
      <c r="H651" s="1">
        <v>5.8982000000000001</v>
      </c>
      <c r="I651" s="1">
        <v>34.317799999999998</v>
      </c>
      <c r="J651" s="1">
        <f t="shared" si="72"/>
        <v>32.219922599999997</v>
      </c>
      <c r="K651" s="1">
        <v>3.352359999999976</v>
      </c>
      <c r="L651" s="1">
        <f t="shared" si="73"/>
        <v>37.106219887640449</v>
      </c>
      <c r="M651" s="1">
        <v>-240.20464999999999</v>
      </c>
      <c r="N651" s="1">
        <v>-30.41215</v>
      </c>
    </row>
    <row r="652" spans="1:14" x14ac:dyDescent="0.4">
      <c r="B652" s="1">
        <v>32.85</v>
      </c>
      <c r="C652" s="1" t="s">
        <v>663</v>
      </c>
      <c r="D652" s="3">
        <f t="shared" si="74"/>
        <v>1953.8000109499999</v>
      </c>
      <c r="E652" s="1">
        <v>59.944499999999998</v>
      </c>
      <c r="F652" s="1">
        <v>22.605399999999999</v>
      </c>
      <c r="G652" s="1">
        <v>12.5695</v>
      </c>
      <c r="H652" s="1">
        <v>11.158300000000001</v>
      </c>
      <c r="I652" s="1">
        <v>184.33</v>
      </c>
      <c r="J652" s="1">
        <f t="shared" si="72"/>
        <v>182.052109</v>
      </c>
      <c r="K652" s="1">
        <v>4.1400600000000054</v>
      </c>
      <c r="L652" s="1">
        <f t="shared" si="73"/>
        <v>-42.331965730337082</v>
      </c>
      <c r="M652" s="1">
        <v>-241.15349000000001</v>
      </c>
      <c r="N652" s="1">
        <v>-30.590199999999999</v>
      </c>
    </row>
    <row r="653" spans="1:14" x14ac:dyDescent="0.4">
      <c r="B653" s="1">
        <v>32.9</v>
      </c>
      <c r="C653" s="1" t="s">
        <v>664</v>
      </c>
      <c r="D653" s="3">
        <f t="shared" si="74"/>
        <v>1953.7333443</v>
      </c>
      <c r="E653" s="1">
        <v>77.315899999999999</v>
      </c>
      <c r="F653" s="1">
        <v>13.6905</v>
      </c>
      <c r="G653" s="1">
        <v>3.7263999999999999</v>
      </c>
      <c r="H653" s="1">
        <v>11.854100000000001</v>
      </c>
      <c r="I653" s="1">
        <v>40.057600000000001</v>
      </c>
      <c r="J653" s="1">
        <f t="shared" si="72"/>
        <v>37.119595799999999</v>
      </c>
      <c r="K653" s="1">
        <v>3.3565699999999765</v>
      </c>
      <c r="L653" s="1">
        <f t="shared" si="73"/>
        <v>56.462194494382018</v>
      </c>
      <c r="M653" s="1">
        <v>-247.27875</v>
      </c>
      <c r="N653" s="1">
        <v>-31.174610000000001</v>
      </c>
    </row>
    <row r="654" spans="1:14" x14ac:dyDescent="0.4">
      <c r="B654" s="1">
        <v>32.950000000000003</v>
      </c>
      <c r="C654" s="1" t="s">
        <v>665</v>
      </c>
      <c r="D654" s="3">
        <f t="shared" si="74"/>
        <v>1953.6666776499999</v>
      </c>
      <c r="E654" s="1">
        <v>476.11279999999999</v>
      </c>
      <c r="F654" s="1">
        <v>43.034999999999997</v>
      </c>
      <c r="G654" s="1">
        <v>22.6052</v>
      </c>
      <c r="H654" s="1">
        <v>51.714100000000002</v>
      </c>
      <c r="I654" s="1">
        <v>145.53440000000001</v>
      </c>
      <c r="J654" s="1">
        <f t="shared" si="72"/>
        <v>127.4421136</v>
      </c>
      <c r="K654" s="1">
        <v>3.092550000000017</v>
      </c>
      <c r="L654" s="1">
        <f t="shared" si="73"/>
        <v>404.51610696629211</v>
      </c>
      <c r="M654" s="1">
        <v>-245.90996000000001</v>
      </c>
      <c r="N654" s="1">
        <v>-31.244340000000001</v>
      </c>
    </row>
    <row r="655" spans="1:14" x14ac:dyDescent="0.4">
      <c r="B655" s="1">
        <v>33</v>
      </c>
      <c r="C655" s="1" t="s">
        <v>666</v>
      </c>
      <c r="D655" s="3">
        <f t="shared" si="74"/>
        <v>1953.600011</v>
      </c>
      <c r="E655" s="1">
        <v>65.415300000000002</v>
      </c>
      <c r="F655" s="1">
        <v>9.3644999999999996</v>
      </c>
      <c r="G655" s="1">
        <v>6.4001999999999999</v>
      </c>
      <c r="H655" s="1">
        <v>11.5242</v>
      </c>
      <c r="I655" s="1">
        <v>31.363499999999998</v>
      </c>
      <c r="J655" s="1">
        <f t="shared" si="72"/>
        <v>28.877718599999998</v>
      </c>
      <c r="K655" s="1">
        <v>3.5681099999999901</v>
      </c>
      <c r="L655" s="1">
        <f t="shared" si="73"/>
        <v>49.191862584269671</v>
      </c>
      <c r="M655" s="1">
        <v>-246.69637</v>
      </c>
      <c r="N655" s="1">
        <v>-31.30387</v>
      </c>
    </row>
    <row r="656" spans="1:14" x14ac:dyDescent="0.4">
      <c r="B656" s="1">
        <v>33.049999999999997</v>
      </c>
      <c r="C656" s="1" t="s">
        <v>667</v>
      </c>
      <c r="D656" s="3">
        <f t="shared" si="74"/>
        <v>1953.5333443499999</v>
      </c>
      <c r="E656" s="1">
        <v>186.76939999999999</v>
      </c>
      <c r="F656" s="1">
        <v>62.974899999999998</v>
      </c>
      <c r="G656" s="1">
        <v>19.601099999999999</v>
      </c>
      <c r="H656" s="1">
        <v>20.279299999999999</v>
      </c>
      <c r="I656" s="1">
        <v>255.78039999999999</v>
      </c>
      <c r="J656" s="1">
        <f t="shared" si="72"/>
        <v>248.68316279999999</v>
      </c>
      <c r="K656" s="1">
        <v>2.1181300000000078</v>
      </c>
      <c r="L656" s="1">
        <f t="shared" si="73"/>
        <v>47.059757977528079</v>
      </c>
      <c r="M656" s="1">
        <v>-248.12282999999999</v>
      </c>
      <c r="N656" s="1">
        <v>-31.417670000000001</v>
      </c>
    </row>
    <row r="657" spans="1:14" x14ac:dyDescent="0.4">
      <c r="B657" s="1">
        <v>33.1</v>
      </c>
      <c r="C657" s="1" t="s">
        <v>668</v>
      </c>
      <c r="D657" s="3">
        <f t="shared" si="74"/>
        <v>1953.4666777</v>
      </c>
      <c r="E657" s="1">
        <v>49.522599999999997</v>
      </c>
      <c r="F657" s="1">
        <v>7.5366999999999997</v>
      </c>
      <c r="G657" s="1">
        <v>2.5644999999999998</v>
      </c>
      <c r="H657" s="1">
        <v>8.3072999999999997</v>
      </c>
      <c r="I657" s="1">
        <v>44.405099999999997</v>
      </c>
      <c r="J657" s="1">
        <f t="shared" si="72"/>
        <v>42.523241200000001</v>
      </c>
      <c r="K657" s="1">
        <v>4.0447599999999966</v>
      </c>
      <c r="L657" s="1">
        <f t="shared" si="73"/>
        <v>25.633138651685389</v>
      </c>
      <c r="M657" s="1">
        <v>-246.46986000000001</v>
      </c>
      <c r="N657" s="1">
        <v>-31.25216</v>
      </c>
    </row>
    <row r="658" spans="1:14" x14ac:dyDescent="0.4">
      <c r="B658" s="1">
        <v>33.15</v>
      </c>
      <c r="C658" s="1" t="s">
        <v>669</v>
      </c>
      <c r="D658" s="3">
        <f t="shared" si="74"/>
        <v>1953.4000110499999</v>
      </c>
      <c r="E658" s="1">
        <v>683.94489999999996</v>
      </c>
      <c r="F658" s="1">
        <v>6.1942000000000004</v>
      </c>
      <c r="G658" s="1">
        <v>33.257100000000001</v>
      </c>
      <c r="H658" s="1">
        <v>58.395600000000002</v>
      </c>
      <c r="I658" s="1">
        <v>273.41910000000001</v>
      </c>
      <c r="J658" s="1">
        <f t="shared" si="72"/>
        <v>247.42919380000001</v>
      </c>
      <c r="K658" s="1">
        <v>3.7345899999999972</v>
      </c>
      <c r="L658" s="1">
        <f t="shared" si="73"/>
        <v>544.93973494382021</v>
      </c>
      <c r="M658" s="1">
        <v>-251.56218000000001</v>
      </c>
      <c r="N658" s="1">
        <v>-31.722270000000002</v>
      </c>
    </row>
    <row r="659" spans="1:14" x14ac:dyDescent="0.4">
      <c r="B659" s="1">
        <v>33.200000000000003</v>
      </c>
      <c r="C659" s="1" t="s">
        <v>670</v>
      </c>
      <c r="D659" s="3">
        <f t="shared" si="74"/>
        <v>1953.3333444</v>
      </c>
      <c r="E659" s="1">
        <v>100.4311</v>
      </c>
      <c r="F659" s="1">
        <v>9.4334000000000007</v>
      </c>
      <c r="G659" s="1">
        <v>2.7597</v>
      </c>
      <c r="H659" s="1">
        <v>16.961600000000001</v>
      </c>
      <c r="I659" s="1">
        <v>35.512999999999998</v>
      </c>
      <c r="J659" s="1">
        <f t="shared" si="72"/>
        <v>31.6966182</v>
      </c>
      <c r="K659" s="1">
        <v>3.2185300000000154</v>
      </c>
      <c r="L659" s="1">
        <f t="shared" si="73"/>
        <v>82.624011123595508</v>
      </c>
      <c r="M659" s="1">
        <v>-250.48745</v>
      </c>
      <c r="N659" s="1">
        <v>-31.738209999999999</v>
      </c>
    </row>
    <row r="660" spans="1:14" x14ac:dyDescent="0.4">
      <c r="B660" s="1">
        <v>33.25</v>
      </c>
      <c r="C660" s="1" t="s">
        <v>671</v>
      </c>
      <c r="D660" s="3">
        <f t="shared" si="74"/>
        <v>1953.2666777499999</v>
      </c>
      <c r="E660" s="1">
        <v>171.96420000000001</v>
      </c>
      <c r="F660" s="1">
        <v>21.179099999999998</v>
      </c>
      <c r="G660" s="1">
        <v>14.7767</v>
      </c>
      <c r="H660" s="1">
        <v>29.177</v>
      </c>
      <c r="I660" s="1">
        <v>283.07619999999997</v>
      </c>
      <c r="J660" s="1">
        <f t="shared" si="72"/>
        <v>276.54156039999998</v>
      </c>
      <c r="K660" s="1">
        <v>3.5474199999999882</v>
      </c>
      <c r="L660" s="1">
        <f t="shared" si="73"/>
        <v>16.603772808988793</v>
      </c>
      <c r="M660" s="1">
        <v>-247.77249</v>
      </c>
      <c r="N660" s="1">
        <v>-31.584779999999999</v>
      </c>
    </row>
    <row r="661" spans="1:14" x14ac:dyDescent="0.4">
      <c r="B661" s="1">
        <v>33.299999999999997</v>
      </c>
      <c r="C661" s="1" t="s">
        <v>672</v>
      </c>
      <c r="D661" s="3">
        <f t="shared" si="74"/>
        <v>1953.2000111</v>
      </c>
      <c r="E661" s="1">
        <v>48.988500000000002</v>
      </c>
      <c r="F661" s="1">
        <v>7.9809999999999999</v>
      </c>
      <c r="G661" s="1">
        <v>3.9767999999999999</v>
      </c>
      <c r="H661" s="1">
        <v>6.7130000000000001</v>
      </c>
      <c r="I661" s="1">
        <v>36.635800000000003</v>
      </c>
      <c r="J661" s="1">
        <f t="shared" si="72"/>
        <v>34.774237000000007</v>
      </c>
      <c r="K661" s="1">
        <v>2.2159800000000018</v>
      </c>
      <c r="L661" s="1">
        <f t="shared" si="73"/>
        <v>29.452411797752809</v>
      </c>
      <c r="M661" s="1">
        <v>-248.08324999999999</v>
      </c>
      <c r="N661" s="1">
        <v>-31.643360000000001</v>
      </c>
    </row>
    <row r="662" spans="1:14" x14ac:dyDescent="0.4">
      <c r="B662" s="1">
        <v>33.35</v>
      </c>
      <c r="C662" s="1" t="s">
        <v>673</v>
      </c>
      <c r="D662" s="3">
        <f t="shared" si="74"/>
        <v>1953.1333444499999</v>
      </c>
      <c r="E662" s="1">
        <v>51.341099999999997</v>
      </c>
      <c r="F662" s="1">
        <v>13.046200000000001</v>
      </c>
      <c r="G662" s="1">
        <v>12.2026</v>
      </c>
      <c r="H662" s="1">
        <v>6.6974</v>
      </c>
      <c r="I662" s="1">
        <v>278.86739999999998</v>
      </c>
      <c r="J662" s="1">
        <f t="shared" si="72"/>
        <v>276.91643819999996</v>
      </c>
      <c r="K662" s="1">
        <v>3.4182299999999941</v>
      </c>
      <c r="L662" s="1">
        <f t="shared" si="73"/>
        <v>-104.22993269662918</v>
      </c>
      <c r="M662" s="1">
        <v>-246.58636000000001</v>
      </c>
      <c r="N662" s="1">
        <v>-31.448530000000002</v>
      </c>
    </row>
    <row r="663" spans="1:14" x14ac:dyDescent="0.4">
      <c r="B663" s="1">
        <v>33.4</v>
      </c>
      <c r="C663" s="1" t="s">
        <v>674</v>
      </c>
      <c r="D663" s="3">
        <f t="shared" si="74"/>
        <v>1953.0666778</v>
      </c>
      <c r="E663" s="1">
        <v>18.0764</v>
      </c>
      <c r="F663" s="1">
        <v>6.6623000000000001</v>
      </c>
      <c r="G663" s="1">
        <v>2.4651999999999998</v>
      </c>
      <c r="H663" s="1">
        <v>2.9436</v>
      </c>
      <c r="I663" s="1">
        <v>32.496899999999997</v>
      </c>
      <c r="J663" s="1">
        <f t="shared" si="72"/>
        <v>31.809996799999997</v>
      </c>
      <c r="K663" s="1">
        <v>4.9057499999999834</v>
      </c>
      <c r="L663" s="1">
        <f t="shared" si="73"/>
        <v>0.20561528089887915</v>
      </c>
      <c r="M663" s="1">
        <v>-243.67215999999999</v>
      </c>
      <c r="N663" s="1">
        <v>-31.062439999999999</v>
      </c>
    </row>
    <row r="664" spans="1:14" x14ac:dyDescent="0.4">
      <c r="A664" s="1">
        <v>1953</v>
      </c>
      <c r="B664" s="1">
        <v>33.450000000000003</v>
      </c>
      <c r="C664" s="1" t="s">
        <v>675</v>
      </c>
      <c r="D664" s="3">
        <f>-2.2222222*B664+2027.3333333</f>
        <v>1953.00000071</v>
      </c>
      <c r="E664" s="1">
        <v>77.162899999999993</v>
      </c>
      <c r="F664" s="1">
        <v>37.0411</v>
      </c>
      <c r="G664" s="1">
        <v>6.2763999999999998</v>
      </c>
      <c r="H664" s="1">
        <v>7.4025999999999996</v>
      </c>
      <c r="I664" s="1">
        <v>61.442599999999999</v>
      </c>
      <c r="J664" s="1">
        <f t="shared" si="72"/>
        <v>58.510409799999998</v>
      </c>
      <c r="K664" s="1">
        <v>5.0636300000000176</v>
      </c>
      <c r="L664" s="1">
        <f t="shared" si="73"/>
        <v>44.291883258426964</v>
      </c>
      <c r="M664" s="1">
        <v>-238.63634999999999</v>
      </c>
      <c r="N664" s="1">
        <v>-30.22514</v>
      </c>
    </row>
    <row r="665" spans="1:14" x14ac:dyDescent="0.4">
      <c r="B665" s="1">
        <v>33.5</v>
      </c>
      <c r="C665" s="1" t="s">
        <v>676</v>
      </c>
      <c r="D665" s="3">
        <f t="shared" ref="D665:D672" si="75">-2.2222222*B665+2027.3333333</f>
        <v>1952.8888896000001</v>
      </c>
      <c r="E665" s="1">
        <v>36.003700000000002</v>
      </c>
      <c r="F665" s="1">
        <v>15.1653</v>
      </c>
      <c r="G665" s="1">
        <v>1.7554000000000001</v>
      </c>
      <c r="H665" s="1">
        <v>6.1845999999999997</v>
      </c>
      <c r="I665" s="1">
        <v>24.958500000000001</v>
      </c>
      <c r="J665" s="1">
        <f t="shared" si="72"/>
        <v>23.590359400000001</v>
      </c>
      <c r="K665" s="1">
        <v>5.0018799999999999</v>
      </c>
      <c r="L665" s="1">
        <f t="shared" si="73"/>
        <v>22.750689101123598</v>
      </c>
      <c r="M665" s="1">
        <v>-234.96655000000001</v>
      </c>
      <c r="N665" s="1">
        <v>-29.88335</v>
      </c>
    </row>
    <row r="666" spans="1:14" x14ac:dyDescent="0.4">
      <c r="B666" s="1">
        <v>33.549999999999997</v>
      </c>
      <c r="C666" s="1" t="s">
        <v>677</v>
      </c>
      <c r="D666" s="3">
        <f t="shared" si="75"/>
        <v>1952.7777784899999</v>
      </c>
      <c r="E666" s="1">
        <v>258.93459999999999</v>
      </c>
      <c r="F666" s="1">
        <v>47.0107</v>
      </c>
      <c r="G666" s="1">
        <v>250.62530000000001</v>
      </c>
      <c r="H666" s="1">
        <v>17.253900000000002</v>
      </c>
      <c r="I666" s="1">
        <v>330.57209999999998</v>
      </c>
      <c r="J666" s="1">
        <f t="shared" si="72"/>
        <v>320.73258519999996</v>
      </c>
      <c r="K666" s="1">
        <v>4.8273599999999988</v>
      </c>
      <c r="L666" s="1">
        <f t="shared" si="73"/>
        <v>78.747754382022492</v>
      </c>
      <c r="M666" s="1">
        <v>-234.94990000000001</v>
      </c>
      <c r="N666" s="1">
        <v>-29.570170000000001</v>
      </c>
    </row>
    <row r="667" spans="1:14" x14ac:dyDescent="0.4">
      <c r="B667" s="1">
        <v>33.6</v>
      </c>
      <c r="C667" s="1" t="s">
        <v>678</v>
      </c>
      <c r="D667" s="3">
        <f t="shared" si="75"/>
        <v>1952.66666738</v>
      </c>
      <c r="E667" s="1">
        <v>76.192099999999996</v>
      </c>
      <c r="F667" s="1">
        <v>14.318</v>
      </c>
      <c r="G667" s="1">
        <v>5.3258999999999999</v>
      </c>
      <c r="H667" s="1">
        <v>18.851099999999999</v>
      </c>
      <c r="I667" s="1">
        <v>33.734299999999998</v>
      </c>
      <c r="J667" s="1">
        <f t="shared" si="72"/>
        <v>30.839000199999997</v>
      </c>
      <c r="K667" s="1">
        <v>3.1647700000000043</v>
      </c>
      <c r="L667" s="1">
        <f t="shared" si="73"/>
        <v>58.866818988764038</v>
      </c>
      <c r="M667" s="1">
        <v>-240.64126999999999</v>
      </c>
      <c r="N667" s="1">
        <v>-30.004239999999999</v>
      </c>
    </row>
    <row r="668" spans="1:14" x14ac:dyDescent="0.4">
      <c r="B668" s="1">
        <v>33.65</v>
      </c>
      <c r="C668" s="1" t="s">
        <v>679</v>
      </c>
      <c r="D668" s="3">
        <f t="shared" si="75"/>
        <v>1952.5555562700001</v>
      </c>
      <c r="E668" s="1">
        <v>149.2637</v>
      </c>
      <c r="F668" s="1">
        <v>8.5862999999999996</v>
      </c>
      <c r="G668" s="1">
        <v>20.5703</v>
      </c>
      <c r="H668" s="1">
        <v>14.6311</v>
      </c>
      <c r="I668" s="1">
        <v>211.03659999999999</v>
      </c>
      <c r="J668" s="1">
        <f t="shared" si="72"/>
        <v>205.3645794</v>
      </c>
      <c r="K668" s="1">
        <v>4.1002499999999884</v>
      </c>
      <c r="L668" s="1">
        <f t="shared" si="73"/>
        <v>33.890340786516859</v>
      </c>
      <c r="M668" s="1">
        <v>-244.26591999999999</v>
      </c>
      <c r="N668" s="1">
        <v>-30.551030000000001</v>
      </c>
    </row>
    <row r="669" spans="1:14" x14ac:dyDescent="0.4">
      <c r="B669" s="1">
        <v>33.700000000000003</v>
      </c>
      <c r="C669" s="1" t="s">
        <v>680</v>
      </c>
      <c r="D669" s="3">
        <f t="shared" si="75"/>
        <v>1952.44444516</v>
      </c>
      <c r="E669" s="1">
        <v>145.7893</v>
      </c>
      <c r="F669" s="1">
        <v>31.881699999999999</v>
      </c>
      <c r="G669" s="1">
        <v>131.79759999999999</v>
      </c>
      <c r="H669" s="1">
        <v>21.445900000000002</v>
      </c>
      <c r="I669" s="1">
        <v>49.917000000000002</v>
      </c>
      <c r="J669" s="1">
        <f t="shared" si="72"/>
        <v>44.377006600000001</v>
      </c>
      <c r="K669" s="1">
        <v>1.6114599999999939</v>
      </c>
      <c r="L669" s="1">
        <f t="shared" si="73"/>
        <v>120.85839741573034</v>
      </c>
      <c r="M669" s="1">
        <v>-245.50255999999999</v>
      </c>
      <c r="N669" s="1">
        <v>-30.532330000000002</v>
      </c>
    </row>
    <row r="670" spans="1:14" x14ac:dyDescent="0.4">
      <c r="B670" s="1">
        <v>33.75</v>
      </c>
      <c r="C670" s="1" t="s">
        <v>681</v>
      </c>
      <c r="D670" s="3">
        <f t="shared" si="75"/>
        <v>1952.3333340500001</v>
      </c>
      <c r="E670" s="1">
        <v>58.865499999999997</v>
      </c>
      <c r="F670" s="1">
        <v>42.512799999999999</v>
      </c>
      <c r="G670" s="1">
        <v>14.357699999999999</v>
      </c>
      <c r="H670" s="1">
        <v>9.7255000000000003</v>
      </c>
      <c r="I670" s="1">
        <v>245.4649</v>
      </c>
      <c r="J670" s="1">
        <f t="shared" si="72"/>
        <v>243.22801100000001</v>
      </c>
      <c r="K670" s="1">
        <v>-0.60734999999999673</v>
      </c>
      <c r="L670" s="1">
        <f t="shared" si="73"/>
        <v>-77.779449999999997</v>
      </c>
      <c r="M670" s="1">
        <v>-236.98535999999999</v>
      </c>
      <c r="N670" s="1">
        <v>-30.06269</v>
      </c>
    </row>
    <row r="671" spans="1:14" x14ac:dyDescent="0.4">
      <c r="B671" s="1">
        <v>33.799999999999997</v>
      </c>
      <c r="C671" s="1" t="s">
        <v>682</v>
      </c>
      <c r="D671" s="3">
        <f t="shared" si="75"/>
        <v>1952.2222229399999</v>
      </c>
      <c r="E671" s="1">
        <v>81.701599999999999</v>
      </c>
      <c r="F671" s="1">
        <v>7.7765000000000004</v>
      </c>
      <c r="G671" s="1">
        <v>3.8769999999999998</v>
      </c>
      <c r="H671" s="1">
        <v>17.979600000000001</v>
      </c>
      <c r="I671" s="1">
        <v>32.951599999999999</v>
      </c>
      <c r="J671" s="1">
        <f t="shared" si="72"/>
        <v>29.846939199999998</v>
      </c>
      <c r="K671" s="1">
        <v>0.14232000000001221</v>
      </c>
      <c r="L671" s="1">
        <f t="shared" si="73"/>
        <v>64.933656629213488</v>
      </c>
      <c r="M671" s="1">
        <v>-233.6129</v>
      </c>
      <c r="N671" s="1">
        <v>-29.68112</v>
      </c>
    </row>
    <row r="672" spans="1:14" x14ac:dyDescent="0.4">
      <c r="B672" s="1">
        <v>33.85</v>
      </c>
      <c r="C672" s="1" t="s">
        <v>683</v>
      </c>
      <c r="D672" s="3">
        <f t="shared" si="75"/>
        <v>1952.11111183</v>
      </c>
      <c r="E672" s="1">
        <v>174.9513</v>
      </c>
      <c r="F672" s="1">
        <v>12.0571</v>
      </c>
      <c r="G672" s="1">
        <v>17.354500000000002</v>
      </c>
      <c r="H672" s="1">
        <v>28.161000000000001</v>
      </c>
      <c r="I672" s="1">
        <v>288.4855</v>
      </c>
      <c r="J672" s="1">
        <f t="shared" si="72"/>
        <v>281.83735059999998</v>
      </c>
      <c r="K672" s="1">
        <v>-1.2439199999999744</v>
      </c>
      <c r="L672" s="1">
        <f t="shared" si="73"/>
        <v>16.615709775280919</v>
      </c>
      <c r="M672" s="1">
        <v>-230.30883</v>
      </c>
      <c r="N672" s="1">
        <v>-29.378209999999999</v>
      </c>
    </row>
    <row r="673" spans="1:14" x14ac:dyDescent="0.4">
      <c r="A673" s="1">
        <v>1952</v>
      </c>
      <c r="B673" s="1">
        <v>33.9</v>
      </c>
      <c r="C673" s="1" t="s">
        <v>684</v>
      </c>
      <c r="D673" s="3">
        <f>-1.176471*B673+1991.882353</f>
        <v>1951.9999860999999</v>
      </c>
      <c r="E673" s="1">
        <v>39.194800000000001</v>
      </c>
      <c r="F673" s="1">
        <v>10.515700000000001</v>
      </c>
      <c r="G673" s="1">
        <v>3.9685000000000001</v>
      </c>
      <c r="H673" s="1">
        <v>8.1387999999999998</v>
      </c>
      <c r="I673" s="1">
        <v>31.562000000000001</v>
      </c>
      <c r="J673" s="1">
        <f t="shared" si="72"/>
        <v>30.072597600000002</v>
      </c>
      <c r="K673" s="1">
        <v>3.5161600000000135</v>
      </c>
      <c r="L673" s="1">
        <f t="shared" si="73"/>
        <v>22.300082247191011</v>
      </c>
      <c r="M673" s="1">
        <v>-225.74573000000001</v>
      </c>
      <c r="N673" s="1">
        <v>-28.599720000000001</v>
      </c>
    </row>
    <row r="674" spans="1:14" x14ac:dyDescent="0.4">
      <c r="B674" s="1">
        <v>33.950000000000003</v>
      </c>
      <c r="C674" s="1" t="s">
        <v>685</v>
      </c>
      <c r="D674" s="3">
        <f t="shared" ref="D674:D687" si="76">-1.176471*B674+1991.882353</f>
        <v>1951.9411625499999</v>
      </c>
      <c r="E674" s="1">
        <v>34.691000000000003</v>
      </c>
      <c r="F674" s="1">
        <v>38.288600000000002</v>
      </c>
      <c r="G674" s="1">
        <v>8.1994000000000007</v>
      </c>
      <c r="H674" s="1">
        <v>5.6752000000000002</v>
      </c>
      <c r="I674" s="1">
        <v>219.06540000000001</v>
      </c>
      <c r="J674" s="1">
        <f t="shared" si="72"/>
        <v>217.747142</v>
      </c>
      <c r="K674" s="1">
        <v>3.8360600000000034</v>
      </c>
      <c r="L674" s="1">
        <f t="shared" si="73"/>
        <v>-87.638855056179764</v>
      </c>
      <c r="M674" s="1">
        <v>-223.93861000000001</v>
      </c>
      <c r="N674" s="1">
        <v>-28.06784</v>
      </c>
    </row>
    <row r="675" spans="1:14" x14ac:dyDescent="0.4">
      <c r="B675" s="1">
        <v>34</v>
      </c>
      <c r="C675" s="1" t="s">
        <v>686</v>
      </c>
      <c r="D675" s="3">
        <f t="shared" si="76"/>
        <v>1951.882339</v>
      </c>
      <c r="E675" s="1">
        <v>10.2918</v>
      </c>
      <c r="F675" s="1">
        <v>8.7033000000000005</v>
      </c>
      <c r="G675" s="1">
        <v>1.9570000000000001</v>
      </c>
      <c r="H675" s="1">
        <v>1.5740000000000001</v>
      </c>
      <c r="I675" s="1">
        <v>40.034599999999998</v>
      </c>
      <c r="J675" s="1">
        <f t="shared" si="72"/>
        <v>39.643511599999997</v>
      </c>
      <c r="K675" s="1">
        <v>4.7168499999999938</v>
      </c>
      <c r="L675" s="1">
        <f t="shared" si="73"/>
        <v>-11.979835730337077</v>
      </c>
      <c r="M675" s="1">
        <v>-221.68401</v>
      </c>
      <c r="N675" s="1">
        <v>-27.878599999999999</v>
      </c>
    </row>
    <row r="676" spans="1:14" x14ac:dyDescent="0.4">
      <c r="B676" s="1">
        <v>34.049999999999997</v>
      </c>
      <c r="C676" s="1" t="s">
        <v>687</v>
      </c>
      <c r="D676" s="3">
        <f t="shared" si="76"/>
        <v>1951.8235154500001</v>
      </c>
      <c r="E676" s="1">
        <v>42.852600000000002</v>
      </c>
      <c r="F676" s="1">
        <v>31.4255</v>
      </c>
      <c r="G676" s="1">
        <v>12.651</v>
      </c>
      <c r="H676" s="1">
        <v>6.5002000000000004</v>
      </c>
      <c r="I676" s="1">
        <v>237.78659999999999</v>
      </c>
      <c r="J676" s="1">
        <f t="shared" si="72"/>
        <v>236.15820119999998</v>
      </c>
      <c r="K676" s="1">
        <v>3.052030000000002</v>
      </c>
      <c r="L676" s="1">
        <f t="shared" si="73"/>
        <v>-89.820546741573025</v>
      </c>
      <c r="M676" s="1">
        <v>-224.44221999999999</v>
      </c>
      <c r="N676" s="1">
        <v>-28.54757</v>
      </c>
    </row>
    <row r="677" spans="1:14" x14ac:dyDescent="0.4">
      <c r="B677" s="1">
        <v>34.1</v>
      </c>
      <c r="C677" s="1" t="s">
        <v>688</v>
      </c>
      <c r="D677" s="3">
        <f t="shared" si="76"/>
        <v>1951.7646918999999</v>
      </c>
      <c r="E677" s="1">
        <v>19.522099999999998</v>
      </c>
      <c r="F677" s="1">
        <v>7.3118999999999996</v>
      </c>
      <c r="G677" s="1">
        <v>2.8923999999999999</v>
      </c>
      <c r="H677" s="1">
        <v>3.0251999999999999</v>
      </c>
      <c r="I677" s="1">
        <v>32.33</v>
      </c>
      <c r="J677" s="1">
        <f t="shared" si="72"/>
        <v>31.588160199999997</v>
      </c>
      <c r="K677" s="1">
        <v>0.60410999999999149</v>
      </c>
      <c r="L677" s="1">
        <f t="shared" si="73"/>
        <v>1.7759425842696643</v>
      </c>
      <c r="M677" s="1">
        <v>-231.38397000000001</v>
      </c>
      <c r="N677" s="1">
        <v>-29.541650000000001</v>
      </c>
    </row>
    <row r="678" spans="1:14" x14ac:dyDescent="0.4">
      <c r="B678" s="1">
        <v>34.15</v>
      </c>
      <c r="C678" s="1" t="s">
        <v>689</v>
      </c>
      <c r="D678" s="3">
        <f t="shared" si="76"/>
        <v>1951.7058683499999</v>
      </c>
      <c r="E678" s="1">
        <v>67.356800000000007</v>
      </c>
      <c r="F678" s="1">
        <v>59.6173</v>
      </c>
      <c r="G678" s="1">
        <v>38.908000000000001</v>
      </c>
      <c r="H678" s="1">
        <v>17.0503</v>
      </c>
      <c r="I678" s="1">
        <v>307.7989</v>
      </c>
      <c r="J678" s="1">
        <f t="shared" si="72"/>
        <v>305.23934159999999</v>
      </c>
      <c r="K678" s="1">
        <v>1.344789999999989</v>
      </c>
      <c r="L678" s="1">
        <f t="shared" si="73"/>
        <v>-104.12597617977526</v>
      </c>
      <c r="M678" s="1">
        <v>-240.39175</v>
      </c>
      <c r="N678" s="1">
        <v>-30.78942</v>
      </c>
    </row>
    <row r="679" spans="1:14" x14ac:dyDescent="0.4">
      <c r="B679" s="1">
        <v>34.200000000000003</v>
      </c>
      <c r="C679" s="1" t="s">
        <v>690</v>
      </c>
      <c r="D679" s="3">
        <f t="shared" si="76"/>
        <v>1951.6470448</v>
      </c>
      <c r="E679" s="1">
        <v>34.862499999999997</v>
      </c>
      <c r="F679" s="1">
        <v>7.6417999999999999</v>
      </c>
      <c r="G679" s="1">
        <v>2.492</v>
      </c>
      <c r="H679" s="1">
        <v>5.0808</v>
      </c>
      <c r="I679" s="1">
        <v>33.237200000000001</v>
      </c>
      <c r="J679" s="1">
        <f t="shared" si="72"/>
        <v>31.912425000000002</v>
      </c>
      <c r="K679" s="1">
        <v>3.9383400000000108</v>
      </c>
      <c r="L679" s="1">
        <f t="shared" si="73"/>
        <v>16.934171348314603</v>
      </c>
      <c r="M679" s="1">
        <v>-254.37361000000001</v>
      </c>
      <c r="N679" s="1">
        <v>-32.384129999999999</v>
      </c>
    </row>
    <row r="680" spans="1:14" x14ac:dyDescent="0.4">
      <c r="B680" s="1">
        <v>34.25</v>
      </c>
      <c r="C680" s="1" t="s">
        <v>691</v>
      </c>
      <c r="D680" s="3">
        <f t="shared" si="76"/>
        <v>1951.5882212500001</v>
      </c>
      <c r="E680" s="1">
        <v>102.3686</v>
      </c>
      <c r="F680" s="1">
        <v>42.802700000000002</v>
      </c>
      <c r="G680" s="1">
        <v>10.3957</v>
      </c>
      <c r="H680" s="1">
        <v>15.7502</v>
      </c>
      <c r="I680" s="1">
        <v>264.74939999999998</v>
      </c>
      <c r="J680" s="1">
        <f t="shared" si="72"/>
        <v>260.8593932</v>
      </c>
      <c r="K680" s="1">
        <v>4.94923</v>
      </c>
      <c r="L680" s="1">
        <f t="shared" si="73"/>
        <v>-44.181620898876403</v>
      </c>
      <c r="M680" s="1">
        <v>-269.03055999999998</v>
      </c>
      <c r="N680" s="1">
        <v>-34.210839999999997</v>
      </c>
    </row>
    <row r="681" spans="1:14" x14ac:dyDescent="0.4">
      <c r="B681" s="1">
        <v>34.299999999999997</v>
      </c>
      <c r="C681" s="1" t="s">
        <v>692</v>
      </c>
      <c r="D681" s="3">
        <f t="shared" si="76"/>
        <v>1951.5293976999999</v>
      </c>
      <c r="E681" s="1">
        <v>34.823599999999999</v>
      </c>
      <c r="F681" s="1">
        <v>6.6001000000000003</v>
      </c>
      <c r="G681" s="1">
        <v>1.9194</v>
      </c>
      <c r="H681" s="1">
        <v>7.3764000000000003</v>
      </c>
      <c r="I681" s="1">
        <v>31.495100000000001</v>
      </c>
      <c r="J681" s="1">
        <f t="shared" si="72"/>
        <v>30.171803199999999</v>
      </c>
      <c r="K681" s="1">
        <v>5.9236099999999965</v>
      </c>
      <c r="L681" s="1">
        <f t="shared" si="73"/>
        <v>17.873148764044945</v>
      </c>
      <c r="M681" s="1">
        <v>-278.91788000000003</v>
      </c>
      <c r="N681" s="1">
        <v>-35.455959999999997</v>
      </c>
    </row>
    <row r="682" spans="1:14" x14ac:dyDescent="0.4">
      <c r="B682" s="1">
        <v>34.4</v>
      </c>
      <c r="C682" s="1" t="s">
        <v>693</v>
      </c>
      <c r="D682" s="3">
        <f t="shared" si="76"/>
        <v>1951.4117506</v>
      </c>
      <c r="E682" s="1">
        <v>112.0141</v>
      </c>
      <c r="F682" s="1">
        <v>18.1891</v>
      </c>
      <c r="G682" s="1">
        <v>2.9460000000000002</v>
      </c>
      <c r="H682" s="1">
        <v>10.0085</v>
      </c>
      <c r="I682" s="1">
        <v>27.755299999999998</v>
      </c>
      <c r="J682" s="1">
        <f t="shared" si="72"/>
        <v>23.498764199999997</v>
      </c>
      <c r="K682" s="1">
        <v>4.6994299999999782</v>
      </c>
      <c r="L682" s="1">
        <f t="shared" si="73"/>
        <v>98.81254707865169</v>
      </c>
      <c r="M682" s="1">
        <v>-282.93651999999997</v>
      </c>
      <c r="N682" s="1">
        <v>-35.997709999999998</v>
      </c>
    </row>
    <row r="683" spans="1:14" x14ac:dyDescent="0.4">
      <c r="B683" s="1">
        <v>34.5</v>
      </c>
      <c r="C683" s="1" t="s">
        <v>694</v>
      </c>
      <c r="D683" s="3">
        <f t="shared" si="76"/>
        <v>1951.2941034999999</v>
      </c>
      <c r="E683" s="1">
        <v>160.1431</v>
      </c>
      <c r="F683" s="1">
        <v>11.647</v>
      </c>
      <c r="G683" s="1">
        <v>4.4057000000000004</v>
      </c>
      <c r="H683" s="1">
        <v>20.4467</v>
      </c>
      <c r="I683" s="1">
        <v>27.14</v>
      </c>
      <c r="J683" s="1">
        <f t="shared" si="72"/>
        <v>21.054562199999999</v>
      </c>
      <c r="K683" s="1">
        <v>4.6561599999999999</v>
      </c>
      <c r="L683" s="1">
        <f t="shared" si="73"/>
        <v>148.31469426966294</v>
      </c>
      <c r="M683" s="1">
        <v>-282.55993999999998</v>
      </c>
      <c r="N683" s="1">
        <v>-36.090260000000001</v>
      </c>
    </row>
    <row r="684" spans="1:14" x14ac:dyDescent="0.4">
      <c r="B684" s="1">
        <v>34.549999999999997</v>
      </c>
      <c r="C684" s="1" t="s">
        <v>695</v>
      </c>
      <c r="D684" s="3">
        <f t="shared" si="76"/>
        <v>1951.2352799499999</v>
      </c>
      <c r="E684" s="1">
        <v>358.11099999999999</v>
      </c>
      <c r="F684" s="1">
        <v>53.268700000000003</v>
      </c>
      <c r="G684" s="1">
        <v>18.2776</v>
      </c>
      <c r="H684" s="1">
        <v>50.984699999999997</v>
      </c>
      <c r="I684" s="1">
        <v>319.45339999999999</v>
      </c>
      <c r="J684" s="1">
        <f t="shared" si="72"/>
        <v>305.84518199999997</v>
      </c>
      <c r="K684" s="1">
        <v>4.7297999999999547</v>
      </c>
      <c r="L684" s="1">
        <f t="shared" si="73"/>
        <v>186.28786404494383</v>
      </c>
      <c r="M684" s="1">
        <v>-280.7593</v>
      </c>
      <c r="N684" s="1">
        <v>-35.873069999999998</v>
      </c>
    </row>
    <row r="685" spans="1:14" x14ac:dyDescent="0.4">
      <c r="B685" s="1">
        <v>34.6</v>
      </c>
      <c r="C685" s="1" t="s">
        <v>696</v>
      </c>
      <c r="D685" s="3">
        <f t="shared" si="76"/>
        <v>1951.1764564</v>
      </c>
      <c r="E685" s="1">
        <v>65.636399999999995</v>
      </c>
      <c r="F685" s="1">
        <v>11.914199999999999</v>
      </c>
      <c r="G685" s="1">
        <v>5.0530999999999997</v>
      </c>
      <c r="H685" s="1">
        <v>12.3924</v>
      </c>
      <c r="I685" s="1">
        <v>46.442</v>
      </c>
      <c r="J685" s="1">
        <f t="shared" si="72"/>
        <v>43.947816799999998</v>
      </c>
      <c r="K685" s="1">
        <v>5.0451600000000099</v>
      </c>
      <c r="L685" s="1">
        <f t="shared" si="73"/>
        <v>40.946615280898868</v>
      </c>
      <c r="M685" s="1">
        <v>-278.27722999999997</v>
      </c>
      <c r="N685" s="1">
        <v>-35.496859999999998</v>
      </c>
    </row>
    <row r="686" spans="1:14" x14ac:dyDescent="0.4">
      <c r="B686" s="1">
        <v>34.65</v>
      </c>
      <c r="C686" s="1" t="s">
        <v>697</v>
      </c>
      <c r="D686" s="3">
        <f t="shared" si="76"/>
        <v>1951.1176328500001</v>
      </c>
      <c r="E686" s="1">
        <v>148.68809999999999</v>
      </c>
      <c r="F686" s="1">
        <v>41.596800000000002</v>
      </c>
      <c r="G686" s="1">
        <v>17.3751</v>
      </c>
      <c r="H686" s="1">
        <v>16.873699999999999</v>
      </c>
      <c r="I686" s="1">
        <v>254.8937</v>
      </c>
      <c r="J686" s="1">
        <f t="shared" si="72"/>
        <v>249.24355220000001</v>
      </c>
      <c r="K686" s="1">
        <v>6.1621400000000222</v>
      </c>
      <c r="L686" s="1">
        <f t="shared" si="73"/>
        <v>8.6636324719100912</v>
      </c>
      <c r="M686" s="1">
        <v>-275.94159000000002</v>
      </c>
      <c r="N686" s="1">
        <v>-35.15287</v>
      </c>
    </row>
    <row r="687" spans="1:14" x14ac:dyDescent="0.4">
      <c r="B687" s="1">
        <v>34.700000000000003</v>
      </c>
      <c r="C687" s="1" t="s">
        <v>698</v>
      </c>
      <c r="D687" s="3">
        <f t="shared" si="76"/>
        <v>1951.0588092999999</v>
      </c>
      <c r="E687" s="1">
        <v>65.654700000000005</v>
      </c>
      <c r="F687" s="1">
        <v>10.794</v>
      </c>
      <c r="G687" s="1">
        <v>11.923400000000001</v>
      </c>
      <c r="H687" s="1">
        <v>11.1075</v>
      </c>
      <c r="I687" s="1">
        <v>49.216099999999997</v>
      </c>
      <c r="J687" s="1">
        <f t="shared" si="72"/>
        <v>46.721221399999997</v>
      </c>
      <c r="K687" s="1">
        <v>6.2252599999999916</v>
      </c>
      <c r="L687" s="1">
        <f t="shared" si="73"/>
        <v>39.406822808988771</v>
      </c>
      <c r="M687" s="1">
        <v>-271.39218</v>
      </c>
      <c r="N687" s="1">
        <v>-34.724139999999998</v>
      </c>
    </row>
    <row r="688" spans="1:14" x14ac:dyDescent="0.4">
      <c r="A688" s="1">
        <v>1951</v>
      </c>
      <c r="B688" s="1">
        <v>34.75</v>
      </c>
      <c r="C688" s="1" t="s">
        <v>699</v>
      </c>
      <c r="D688" s="3">
        <f>-1.538462*B688+2004.461538</f>
        <v>1950.9999835000001</v>
      </c>
      <c r="E688" s="1">
        <v>147.51570000000001</v>
      </c>
      <c r="F688" s="1">
        <v>63.146700000000003</v>
      </c>
      <c r="G688" s="1">
        <v>30.366700000000002</v>
      </c>
      <c r="H688" s="1">
        <v>23.035399999999999</v>
      </c>
      <c r="I688" s="1">
        <v>304.37880000000001</v>
      </c>
      <c r="J688" s="1">
        <f t="shared" si="72"/>
        <v>298.7732034</v>
      </c>
      <c r="K688" s="1">
        <v>5.6976500000000101</v>
      </c>
      <c r="L688" s="1">
        <f t="shared" si="73"/>
        <v>-20.334414269662915</v>
      </c>
      <c r="M688" s="1">
        <v>-266.47228999999999</v>
      </c>
      <c r="N688" s="1">
        <v>-33.684170000000002</v>
      </c>
    </row>
    <row r="689" spans="1:14" x14ac:dyDescent="0.4">
      <c r="B689" s="1">
        <v>34.799999999999997</v>
      </c>
      <c r="C689" s="1" t="s">
        <v>700</v>
      </c>
      <c r="D689" s="3">
        <f t="shared" ref="D689:D700" si="77">-1.538462*B689+2004.461538</f>
        <v>1950.9230603999999</v>
      </c>
      <c r="E689" s="1">
        <v>17.955300000000001</v>
      </c>
      <c r="F689" s="1">
        <v>17.817</v>
      </c>
      <c r="G689" s="1">
        <v>5.4199000000000002</v>
      </c>
      <c r="H689" s="1">
        <v>2.6202000000000001</v>
      </c>
      <c r="I689" s="1">
        <v>37.226900000000001</v>
      </c>
      <c r="J689" s="1">
        <f t="shared" si="72"/>
        <v>36.5445986</v>
      </c>
      <c r="K689" s="1">
        <v>5.2813699999999812</v>
      </c>
      <c r="L689" s="1">
        <f t="shared" si="73"/>
        <v>-2.5753733707865152</v>
      </c>
      <c r="M689" s="1">
        <v>-259.06375000000003</v>
      </c>
      <c r="N689" s="1">
        <v>-32.657679999999999</v>
      </c>
    </row>
    <row r="690" spans="1:14" x14ac:dyDescent="0.4">
      <c r="B690" s="1">
        <v>34.85</v>
      </c>
      <c r="C690" s="1" t="s">
        <v>701</v>
      </c>
      <c r="D690" s="3">
        <f t="shared" si="77"/>
        <v>1950.8461373</v>
      </c>
      <c r="E690" s="1">
        <v>36.844200000000001</v>
      </c>
      <c r="F690" s="1">
        <v>52.480400000000003</v>
      </c>
      <c r="G690" s="1">
        <v>11.5198</v>
      </c>
      <c r="H690" s="1">
        <v>5.8441999999999998</v>
      </c>
      <c r="I690" s="1">
        <v>318.86200000000002</v>
      </c>
      <c r="J690" s="1">
        <f t="shared" si="72"/>
        <v>317.4619204</v>
      </c>
      <c r="K690" s="1">
        <v>6.4009399999999914</v>
      </c>
      <c r="L690" s="1">
        <f t="shared" si="73"/>
        <v>-141.50519348314606</v>
      </c>
      <c r="M690" s="1">
        <v>-249.17577</v>
      </c>
      <c r="N690" s="1">
        <v>-31.274999999999999</v>
      </c>
    </row>
    <row r="691" spans="1:14" x14ac:dyDescent="0.4">
      <c r="B691" s="1">
        <v>34.9</v>
      </c>
      <c r="C691" s="1" t="s">
        <v>702</v>
      </c>
      <c r="D691" s="3">
        <f t="shared" si="77"/>
        <v>1950.7692142000001</v>
      </c>
      <c r="E691" s="1">
        <v>50.752800000000001</v>
      </c>
      <c r="F691" s="1">
        <v>9.9687000000000001</v>
      </c>
      <c r="G691" s="1">
        <v>6.5228000000000002</v>
      </c>
      <c r="H691" s="1">
        <v>7.4360999999999997</v>
      </c>
      <c r="I691" s="1">
        <v>152.55879999999999</v>
      </c>
      <c r="J691" s="1">
        <f t="shared" si="72"/>
        <v>150.63019359999998</v>
      </c>
      <c r="K691" s="1">
        <v>3.001070000000027</v>
      </c>
      <c r="L691" s="1">
        <f t="shared" si="73"/>
        <v>-33.870904269662908</v>
      </c>
      <c r="M691" s="1">
        <v>-234.33901</v>
      </c>
      <c r="N691" s="1">
        <v>-29.494949999999999</v>
      </c>
    </row>
    <row r="692" spans="1:14" x14ac:dyDescent="0.4">
      <c r="B692" s="1">
        <v>34.950000000000003</v>
      </c>
      <c r="C692" s="1" t="s">
        <v>703</v>
      </c>
      <c r="D692" s="3">
        <f t="shared" si="77"/>
        <v>1950.6922910999999</v>
      </c>
      <c r="E692" s="1">
        <v>356.17739999999998</v>
      </c>
      <c r="F692" s="1">
        <v>20.990600000000001</v>
      </c>
      <c r="G692" s="1">
        <v>31.560500000000001</v>
      </c>
      <c r="H692" s="1">
        <v>27.3642</v>
      </c>
      <c r="I692" s="1">
        <v>1582.7832000000001</v>
      </c>
      <c r="K692" s="1">
        <v>2.1976899999999659</v>
      </c>
      <c r="L692" s="1">
        <f t="shared" si="73"/>
        <v>356.17739999999998</v>
      </c>
      <c r="M692" s="1">
        <v>-229.95330000000001</v>
      </c>
      <c r="N692" s="1">
        <v>-29.165929999999999</v>
      </c>
    </row>
    <row r="693" spans="1:14" x14ac:dyDescent="0.4">
      <c r="B693" s="1">
        <v>35</v>
      </c>
      <c r="C693" s="1" t="s">
        <v>704</v>
      </c>
      <c r="D693" s="3">
        <f t="shared" si="77"/>
        <v>1950.615368</v>
      </c>
      <c r="E693" s="1">
        <v>68.302300000000002</v>
      </c>
      <c r="F693" s="1">
        <v>8.8533000000000008</v>
      </c>
      <c r="G693" s="1">
        <v>6.6376999999999997</v>
      </c>
      <c r="H693" s="1">
        <v>11.0771</v>
      </c>
      <c r="I693" s="1">
        <v>154.4427</v>
      </c>
      <c r="J693" s="1">
        <f t="shared" si="72"/>
        <v>151.84721260000001</v>
      </c>
      <c r="K693" s="1">
        <v>1.0242299999999886</v>
      </c>
      <c r="L693" s="1">
        <f t="shared" si="73"/>
        <v>-17.005122808988759</v>
      </c>
      <c r="M693" s="1">
        <v>-234.93464</v>
      </c>
      <c r="N693" s="1">
        <v>-29.724889999999998</v>
      </c>
    </row>
    <row r="694" spans="1:14" x14ac:dyDescent="0.4">
      <c r="B694" s="1">
        <v>35.049999999999997</v>
      </c>
      <c r="C694" s="1" t="s">
        <v>705</v>
      </c>
      <c r="D694" s="3">
        <f t="shared" si="77"/>
        <v>1950.5384449000001</v>
      </c>
      <c r="E694" s="1">
        <v>221.07939999999999</v>
      </c>
      <c r="F694" s="1">
        <v>9.4845000000000006</v>
      </c>
      <c r="G694" s="1">
        <v>23.468800000000002</v>
      </c>
      <c r="H694" s="1">
        <v>23.1128</v>
      </c>
      <c r="I694" s="1">
        <v>710.1327</v>
      </c>
      <c r="J694" s="1">
        <f t="shared" si="72"/>
        <v>701.73168280000004</v>
      </c>
      <c r="K694" s="1">
        <v>1.6205899999999929</v>
      </c>
      <c r="L694" s="1">
        <f t="shared" si="73"/>
        <v>-173.15188247191011</v>
      </c>
      <c r="M694" s="1">
        <v>-246.13668000000001</v>
      </c>
      <c r="N694" s="1">
        <v>-30.903359999999999</v>
      </c>
    </row>
    <row r="695" spans="1:14" x14ac:dyDescent="0.4">
      <c r="B695" s="1">
        <v>35.1</v>
      </c>
      <c r="C695" s="1" t="s">
        <v>706</v>
      </c>
      <c r="D695" s="3">
        <f t="shared" si="77"/>
        <v>1950.4615217999999</v>
      </c>
      <c r="E695" s="1">
        <v>284.15249999999997</v>
      </c>
      <c r="F695" s="1">
        <v>22.769500000000001</v>
      </c>
      <c r="G695" s="1">
        <v>126.5796</v>
      </c>
      <c r="H695" s="1">
        <v>34.686399999999999</v>
      </c>
      <c r="I695" s="1">
        <v>115.2946</v>
      </c>
      <c r="J695" s="1">
        <f t="shared" si="72"/>
        <v>104.49680500000001</v>
      </c>
      <c r="K695" s="1">
        <v>3.3741399999999828</v>
      </c>
      <c r="L695" s="1">
        <f t="shared" si="73"/>
        <v>225.44642977528088</v>
      </c>
      <c r="M695" s="1">
        <v>-256.71442999999999</v>
      </c>
      <c r="N695" s="1">
        <v>-32.587020000000003</v>
      </c>
    </row>
    <row r="696" spans="1:14" x14ac:dyDescent="0.4">
      <c r="B696" s="1">
        <v>35.15</v>
      </c>
      <c r="C696" s="1" t="s">
        <v>707</v>
      </c>
      <c r="D696" s="3">
        <f t="shared" si="77"/>
        <v>1950.3845987</v>
      </c>
      <c r="E696" s="1">
        <v>78.929000000000002</v>
      </c>
      <c r="F696" s="1">
        <v>8.0721000000000007</v>
      </c>
      <c r="G696" s="1">
        <v>9.1852999999999998</v>
      </c>
      <c r="H696" s="1">
        <v>11.096399999999999</v>
      </c>
      <c r="I696" s="1">
        <v>179.2364</v>
      </c>
      <c r="J696" s="1">
        <f t="shared" si="72"/>
        <v>176.237098</v>
      </c>
      <c r="K696" s="1">
        <v>2.8644799999999861</v>
      </c>
      <c r="L696" s="1">
        <f t="shared" si="73"/>
        <v>-20.080605617977525</v>
      </c>
      <c r="M696" s="1">
        <v>-267.02082999999999</v>
      </c>
      <c r="N696" s="1">
        <v>-33.866790000000002</v>
      </c>
    </row>
    <row r="697" spans="1:14" x14ac:dyDescent="0.4">
      <c r="B697" s="1">
        <v>35.200000000000003</v>
      </c>
      <c r="C697" s="1" t="s">
        <v>708</v>
      </c>
      <c r="D697" s="3">
        <f t="shared" si="77"/>
        <v>1950.3076756</v>
      </c>
      <c r="E697" s="1">
        <v>116.97110000000001</v>
      </c>
      <c r="F697" s="1">
        <v>11.1488</v>
      </c>
      <c r="G697" s="1">
        <v>8.1588999999999992</v>
      </c>
      <c r="H697" s="1">
        <v>12.7128</v>
      </c>
      <c r="I697" s="1">
        <v>136.84989999999999</v>
      </c>
      <c r="J697" s="1">
        <f t="shared" si="72"/>
        <v>132.40499819999999</v>
      </c>
      <c r="K697" s="1">
        <v>1.0901999999999816</v>
      </c>
      <c r="L697" s="1">
        <f t="shared" si="73"/>
        <v>42.586269550561809</v>
      </c>
      <c r="M697" s="1">
        <v>-277.00652000000002</v>
      </c>
      <c r="N697" s="1">
        <v>-34.555570000000003</v>
      </c>
    </row>
    <row r="698" spans="1:14" x14ac:dyDescent="0.4">
      <c r="B698" s="1">
        <v>35.25</v>
      </c>
      <c r="C698" s="1" t="s">
        <v>709</v>
      </c>
      <c r="D698" s="3">
        <f t="shared" si="77"/>
        <v>1950.2307525000001</v>
      </c>
      <c r="E698" s="1">
        <v>91.931899999999999</v>
      </c>
      <c r="F698" s="1">
        <v>37.860399999999998</v>
      </c>
      <c r="G698" s="1">
        <v>10.6851</v>
      </c>
      <c r="H698" s="1">
        <v>11.2807</v>
      </c>
      <c r="I698" s="1">
        <v>141.4288</v>
      </c>
      <c r="J698" s="1">
        <f t="shared" si="72"/>
        <v>137.9353878</v>
      </c>
      <c r="K698" s="1">
        <v>3.9817300000000273</v>
      </c>
      <c r="L698" s="1">
        <f t="shared" si="73"/>
        <v>14.440109101123596</v>
      </c>
      <c r="M698" s="1">
        <v>-279.21208000000001</v>
      </c>
      <c r="N698" s="1">
        <v>-35.288870000000003</v>
      </c>
    </row>
    <row r="699" spans="1:14" x14ac:dyDescent="0.4">
      <c r="B699" s="1">
        <v>35.299999999999997</v>
      </c>
      <c r="C699" s="1" t="s">
        <v>710</v>
      </c>
      <c r="D699" s="3">
        <f t="shared" si="77"/>
        <v>1950.1538293999999</v>
      </c>
      <c r="E699" s="1">
        <v>71.791899999999998</v>
      </c>
      <c r="F699" s="1">
        <v>9.0622000000000007</v>
      </c>
      <c r="G699" s="1">
        <v>4.1304999999999996</v>
      </c>
      <c r="H699" s="1">
        <v>10.0312</v>
      </c>
      <c r="I699" s="1">
        <v>127.09950000000001</v>
      </c>
      <c r="J699" s="1">
        <f t="shared" si="72"/>
        <v>124.3714078</v>
      </c>
      <c r="K699" s="1">
        <v>3.9134900000000243</v>
      </c>
      <c r="L699" s="1">
        <f t="shared" si="73"/>
        <v>1.9203225842696554</v>
      </c>
      <c r="M699" s="1">
        <v>-281.63065999999998</v>
      </c>
      <c r="N699" s="1">
        <v>-35.575949999999999</v>
      </c>
    </row>
    <row r="700" spans="1:14" x14ac:dyDescent="0.4">
      <c r="B700" s="1">
        <v>35.35</v>
      </c>
      <c r="C700" s="1" t="s">
        <v>711</v>
      </c>
      <c r="D700" s="3">
        <f t="shared" si="77"/>
        <v>1950.0769063</v>
      </c>
      <c r="E700" s="1">
        <v>114.3608</v>
      </c>
      <c r="F700" s="1">
        <v>31.465399999999999</v>
      </c>
      <c r="G700" s="1">
        <v>9.8752999999999993</v>
      </c>
      <c r="H700" s="1">
        <v>23.7821</v>
      </c>
      <c r="I700" s="1">
        <v>227.83969999999999</v>
      </c>
      <c r="J700" s="1">
        <f t="shared" si="72"/>
        <v>223.49398959999999</v>
      </c>
      <c r="K700" s="1">
        <v>-0.56195999999999913</v>
      </c>
      <c r="L700" s="1">
        <f t="shared" si="73"/>
        <v>-11.197621123595496</v>
      </c>
      <c r="M700" s="1">
        <v>-276.99410999999998</v>
      </c>
      <c r="N700" s="1">
        <v>-34.94247</v>
      </c>
    </row>
    <row r="701" spans="1:14" x14ac:dyDescent="0.4">
      <c r="A701" s="1">
        <v>1950</v>
      </c>
      <c r="B701" s="1">
        <v>35.4</v>
      </c>
      <c r="C701" s="1" t="s">
        <v>712</v>
      </c>
      <c r="D701" s="3">
        <f>-1.428571*B701+2000.571429</f>
        <v>1950.0000156000001</v>
      </c>
      <c r="E701" s="1">
        <v>43.455199999999998</v>
      </c>
      <c r="F701" s="1">
        <v>6.2961</v>
      </c>
      <c r="G701" s="1">
        <v>2.8847999999999998</v>
      </c>
      <c r="H701" s="1">
        <v>5.8132999999999999</v>
      </c>
      <c r="I701" s="1">
        <v>129.03229999999999</v>
      </c>
      <c r="J701" s="1">
        <f t="shared" si="72"/>
        <v>127.38100239999999</v>
      </c>
      <c r="K701" s="1">
        <v>3.0988800000000083</v>
      </c>
      <c r="L701" s="1">
        <f t="shared" si="73"/>
        <v>-28.107160898876394</v>
      </c>
      <c r="M701" s="1">
        <v>-267.85809999999998</v>
      </c>
      <c r="N701" s="1">
        <v>-33.986780000000003</v>
      </c>
    </row>
    <row r="702" spans="1:14" x14ac:dyDescent="0.4">
      <c r="B702" s="1">
        <v>35.450000000000003</v>
      </c>
      <c r="C702" s="1" t="s">
        <v>713</v>
      </c>
      <c r="D702" s="3">
        <f t="shared" ref="D702:D714" si="78">-1.428571*B702+2000.571429</f>
        <v>1949.92858705</v>
      </c>
      <c r="E702" s="1">
        <v>61.7498</v>
      </c>
      <c r="F702" s="1">
        <v>25.555</v>
      </c>
      <c r="G702" s="1">
        <v>18.6601</v>
      </c>
      <c r="H702" s="1">
        <v>33.052</v>
      </c>
      <c r="I702" s="1">
        <v>503.18290000000002</v>
      </c>
      <c r="J702" s="1">
        <f t="shared" si="72"/>
        <v>500.83640760000003</v>
      </c>
      <c r="K702" s="1">
        <v>2.9769400000000132</v>
      </c>
      <c r="L702" s="1">
        <f t="shared" si="73"/>
        <v>-219.61896831460678</v>
      </c>
      <c r="M702" s="1">
        <v>-255.92321999999999</v>
      </c>
      <c r="N702" s="1">
        <v>-32.739669999999997</v>
      </c>
    </row>
    <row r="703" spans="1:14" x14ac:dyDescent="0.4">
      <c r="B703" s="1">
        <v>35.5</v>
      </c>
      <c r="C703" s="1" t="s">
        <v>714</v>
      </c>
      <c r="D703" s="3">
        <f t="shared" si="78"/>
        <v>1949.8571585</v>
      </c>
      <c r="E703" s="1">
        <v>30.4178</v>
      </c>
      <c r="F703" s="1">
        <v>7.4729000000000001</v>
      </c>
      <c r="G703" s="1">
        <v>3.4235000000000002</v>
      </c>
      <c r="H703" s="1">
        <v>3.9304000000000001</v>
      </c>
      <c r="I703" s="1">
        <v>182.5042</v>
      </c>
      <c r="J703" s="1">
        <f t="shared" si="72"/>
        <v>181.34832359999999</v>
      </c>
      <c r="K703" s="1">
        <v>2.5456500000000233</v>
      </c>
      <c r="L703" s="1">
        <f t="shared" si="73"/>
        <v>-71.463280674157289</v>
      </c>
      <c r="M703" s="1">
        <v>-245.06111999999999</v>
      </c>
      <c r="N703" s="1">
        <v>-31.36917</v>
      </c>
    </row>
    <row r="704" spans="1:14" x14ac:dyDescent="0.4">
      <c r="B704" s="1">
        <v>35.549999999999997</v>
      </c>
      <c r="C704" s="1" t="s">
        <v>715</v>
      </c>
      <c r="D704" s="3">
        <f t="shared" si="78"/>
        <v>1949.7857299500001</v>
      </c>
      <c r="E704" s="1">
        <v>22.482199999999999</v>
      </c>
      <c r="F704" s="1">
        <v>40.2348</v>
      </c>
      <c r="G704" s="1">
        <v>40.625900000000001</v>
      </c>
      <c r="H704" s="1">
        <v>2.7949999999999999</v>
      </c>
      <c r="I704" s="1">
        <v>795.0797</v>
      </c>
      <c r="J704" s="1">
        <f t="shared" si="72"/>
        <v>794.22537639999996</v>
      </c>
      <c r="K704" s="1">
        <v>4.0361400000000458</v>
      </c>
      <c r="L704" s="1">
        <f t="shared" si="73"/>
        <v>-423.71183168539324</v>
      </c>
      <c r="M704" s="1">
        <v>-239.50755000000001</v>
      </c>
      <c r="N704" s="1">
        <v>-30.780619999999999</v>
      </c>
    </row>
    <row r="705" spans="1:14" x14ac:dyDescent="0.4">
      <c r="B705" s="1">
        <v>35.6</v>
      </c>
      <c r="C705" s="1" t="s">
        <v>716</v>
      </c>
      <c r="D705" s="3">
        <f t="shared" si="78"/>
        <v>1949.7143014000001</v>
      </c>
      <c r="E705" s="1">
        <v>60.746200000000002</v>
      </c>
      <c r="F705" s="1">
        <v>12.885</v>
      </c>
      <c r="G705" s="1">
        <v>6.7019000000000002</v>
      </c>
      <c r="H705" s="1">
        <v>8.9913000000000007</v>
      </c>
      <c r="I705" s="1">
        <v>170.2824</v>
      </c>
      <c r="J705" s="1">
        <f t="shared" si="72"/>
        <v>167.9740444</v>
      </c>
      <c r="K705" s="1">
        <v>5.9941399999999874</v>
      </c>
      <c r="L705" s="1">
        <f t="shared" si="73"/>
        <v>-33.621240674157292</v>
      </c>
      <c r="M705" s="1">
        <v>-238.44132999999999</v>
      </c>
      <c r="N705" s="1">
        <v>-30.598700000000001</v>
      </c>
    </row>
    <row r="706" spans="1:14" x14ac:dyDescent="0.4">
      <c r="B706" s="1">
        <v>35.65</v>
      </c>
      <c r="C706" s="1" t="s">
        <v>717</v>
      </c>
      <c r="D706" s="3">
        <f t="shared" si="78"/>
        <v>1949.64287285</v>
      </c>
      <c r="E706" s="1">
        <v>106.0977</v>
      </c>
      <c r="F706" s="1">
        <v>46.848300000000002</v>
      </c>
      <c r="G706" s="1">
        <v>16.637899999999998</v>
      </c>
      <c r="H706" s="1">
        <v>6.3604000000000003</v>
      </c>
      <c r="I706" s="1">
        <v>806.51149999999996</v>
      </c>
      <c r="J706" s="1">
        <f t="shared" si="72"/>
        <v>802.47978739999996</v>
      </c>
      <c r="K706" s="1">
        <v>5.8922400000000152</v>
      </c>
      <c r="L706" s="1">
        <f t="shared" si="73"/>
        <v>-344.73364123595502</v>
      </c>
      <c r="M706" s="1">
        <v>-243.45039</v>
      </c>
      <c r="N706" s="1">
        <v>-31.130030000000001</v>
      </c>
    </row>
    <row r="707" spans="1:14" x14ac:dyDescent="0.4">
      <c r="B707" s="1">
        <v>35.700000000000003</v>
      </c>
      <c r="C707" s="1" t="s">
        <v>718</v>
      </c>
      <c r="D707" s="3">
        <f t="shared" si="78"/>
        <v>1949.5714443000002</v>
      </c>
      <c r="E707" s="1">
        <v>60.064999999999998</v>
      </c>
      <c r="F707" s="1">
        <v>8.3337000000000003</v>
      </c>
      <c r="G707" s="1">
        <v>8.8933999999999997</v>
      </c>
      <c r="H707" s="1">
        <v>10.077999999999999</v>
      </c>
      <c r="I707" s="1">
        <v>301.96539999999999</v>
      </c>
      <c r="J707" s="1">
        <f t="shared" ref="J707:J770" si="79">I707-0.038*E707</f>
        <v>299.68293</v>
      </c>
      <c r="K707" s="1">
        <v>6.7374099999999828</v>
      </c>
      <c r="L707" s="1">
        <f t="shared" ref="L707:L770" si="80">E707-(J707/1.78)</f>
        <v>-108.29619662921348</v>
      </c>
      <c r="M707" s="1">
        <v>-253.67971</v>
      </c>
      <c r="N707" s="1">
        <v>-32.226880000000001</v>
      </c>
    </row>
    <row r="708" spans="1:14" x14ac:dyDescent="0.4">
      <c r="B708" s="1">
        <v>35.75</v>
      </c>
      <c r="C708" s="1" t="s">
        <v>719</v>
      </c>
      <c r="D708" s="3">
        <f t="shared" si="78"/>
        <v>1949.5000157500001</v>
      </c>
      <c r="E708" s="1">
        <v>87.746600000000001</v>
      </c>
      <c r="F708" s="1">
        <v>35.2104</v>
      </c>
      <c r="G708" s="1">
        <v>9.9778000000000002</v>
      </c>
      <c r="H708" s="1">
        <v>11.4634</v>
      </c>
      <c r="I708" s="1">
        <v>273.70350000000002</v>
      </c>
      <c r="J708" s="1">
        <f t="shared" si="79"/>
        <v>270.36912920000003</v>
      </c>
      <c r="K708" s="1">
        <v>6.3482700000000136</v>
      </c>
      <c r="L708" s="1">
        <f t="shared" si="80"/>
        <v>-64.146169213483148</v>
      </c>
      <c r="M708" s="1">
        <v>-262.65708999999998</v>
      </c>
      <c r="N708" s="1">
        <v>-33.155200000000001</v>
      </c>
    </row>
    <row r="709" spans="1:14" x14ac:dyDescent="0.4">
      <c r="B709" s="1">
        <v>35.799999999999997</v>
      </c>
      <c r="C709" s="1" t="s">
        <v>720</v>
      </c>
      <c r="D709" s="3">
        <f t="shared" si="78"/>
        <v>1949.4285872</v>
      </c>
      <c r="E709" s="1">
        <v>19.155999999999999</v>
      </c>
      <c r="F709" s="1">
        <v>19.632000000000001</v>
      </c>
      <c r="G709" s="1">
        <v>1.8668</v>
      </c>
      <c r="H709" s="1">
        <v>2.9817999999999998</v>
      </c>
      <c r="I709" s="1">
        <v>43.697099999999999</v>
      </c>
      <c r="J709" s="1">
        <f t="shared" si="79"/>
        <v>42.969172</v>
      </c>
      <c r="K709" s="1">
        <v>5.5898500000000126</v>
      </c>
      <c r="L709" s="1">
        <f t="shared" si="80"/>
        <v>-4.9839842696629226</v>
      </c>
      <c r="M709" s="1">
        <v>-268.55351000000002</v>
      </c>
      <c r="N709" s="1">
        <v>-33.750480000000003</v>
      </c>
    </row>
    <row r="710" spans="1:14" x14ac:dyDescent="0.4">
      <c r="B710" s="1">
        <v>35.85</v>
      </c>
      <c r="C710" s="1" t="s">
        <v>721</v>
      </c>
      <c r="D710" s="3">
        <f t="shared" si="78"/>
        <v>1949.35715865</v>
      </c>
      <c r="E710" s="1">
        <v>27.935600000000001</v>
      </c>
      <c r="F710" s="1">
        <v>21.225300000000001</v>
      </c>
      <c r="G710" s="1">
        <v>7.5608000000000004</v>
      </c>
      <c r="H710" s="1">
        <v>6.4382999999999999</v>
      </c>
      <c r="I710" s="1">
        <v>315.7176</v>
      </c>
      <c r="J710" s="1">
        <f t="shared" si="79"/>
        <v>314.65604719999999</v>
      </c>
      <c r="K710" s="1">
        <v>4.1353300000000104</v>
      </c>
      <c r="L710" s="1">
        <f t="shared" si="80"/>
        <v>-148.83746022471911</v>
      </c>
      <c r="M710" s="1">
        <v>-266.59372000000002</v>
      </c>
      <c r="N710" s="1">
        <v>-33.512309999999999</v>
      </c>
    </row>
    <row r="711" spans="1:14" x14ac:dyDescent="0.4">
      <c r="B711" s="1">
        <v>35.9</v>
      </c>
      <c r="C711" s="1" t="s">
        <v>722</v>
      </c>
      <c r="D711" s="3">
        <f t="shared" si="78"/>
        <v>1949.2857301000001</v>
      </c>
      <c r="E711" s="1">
        <v>21.463799999999999</v>
      </c>
      <c r="F711" s="1">
        <v>9.4863</v>
      </c>
      <c r="G711" s="1">
        <v>2.7858999999999998</v>
      </c>
      <c r="H711" s="1">
        <v>5.7637999999999998</v>
      </c>
      <c r="I711" s="1">
        <v>48.883499999999998</v>
      </c>
      <c r="J711" s="1">
        <f t="shared" si="79"/>
        <v>48.067875600000001</v>
      </c>
      <c r="K711" s="1">
        <v>2.584510000000023</v>
      </c>
      <c r="L711" s="1">
        <f t="shared" si="80"/>
        <v>-5.5406244943820226</v>
      </c>
      <c r="M711" s="1">
        <v>-248.79455999999999</v>
      </c>
      <c r="N711" s="1">
        <v>-31.307950000000002</v>
      </c>
    </row>
    <row r="712" spans="1:14" x14ac:dyDescent="0.4">
      <c r="B712" s="1">
        <v>35.950000000000003</v>
      </c>
      <c r="C712" s="1" t="s">
        <v>723</v>
      </c>
      <c r="D712" s="3">
        <f t="shared" si="78"/>
        <v>1949.2143015500001</v>
      </c>
      <c r="E712" s="1">
        <v>85.587100000000007</v>
      </c>
      <c r="F712" s="1">
        <v>35.237499999999997</v>
      </c>
      <c r="G712" s="1">
        <v>21.431899999999999</v>
      </c>
      <c r="H712" s="1">
        <v>11.947699999999999</v>
      </c>
      <c r="I712" s="1">
        <v>236.11320000000001</v>
      </c>
      <c r="J712" s="1">
        <f t="shared" si="79"/>
        <v>232.8608902</v>
      </c>
      <c r="K712" s="1">
        <v>1.4503300000000081</v>
      </c>
      <c r="L712" s="1">
        <f t="shared" si="80"/>
        <v>-45.233624831460659</v>
      </c>
      <c r="M712" s="1">
        <v>-235.40092999999999</v>
      </c>
      <c r="N712" s="1">
        <v>-29.74438</v>
      </c>
    </row>
    <row r="713" spans="1:14" x14ac:dyDescent="0.4">
      <c r="B713" s="1">
        <v>36</v>
      </c>
      <c r="C713" s="1" t="s">
        <v>724</v>
      </c>
      <c r="D713" s="3">
        <f t="shared" si="78"/>
        <v>1949.142873</v>
      </c>
      <c r="E713" s="1">
        <v>26.325199999999999</v>
      </c>
      <c r="F713" s="1">
        <v>7.3319999999999999</v>
      </c>
      <c r="G713" s="1">
        <v>3.9192999999999998</v>
      </c>
      <c r="H713" s="1">
        <v>5.0232000000000001</v>
      </c>
      <c r="I713" s="1">
        <v>64.512799999999999</v>
      </c>
      <c r="J713" s="1">
        <f t="shared" si="79"/>
        <v>63.512442399999998</v>
      </c>
      <c r="K713" s="1">
        <v>1.5047599999999761</v>
      </c>
      <c r="L713" s="1">
        <f t="shared" si="80"/>
        <v>-9.3559474157303377</v>
      </c>
      <c r="M713" s="1">
        <v>-231.22484</v>
      </c>
      <c r="N713" s="1">
        <v>-29.29222</v>
      </c>
    </row>
    <row r="714" spans="1:14" x14ac:dyDescent="0.4">
      <c r="A714" s="5"/>
      <c r="B714" s="1">
        <v>36.049999999999997</v>
      </c>
      <c r="C714" s="1" t="s">
        <v>725</v>
      </c>
      <c r="D714" s="3">
        <f t="shared" si="78"/>
        <v>1949.0714444500002</v>
      </c>
      <c r="E714" s="1">
        <v>45.860399999999998</v>
      </c>
      <c r="F714" s="1">
        <v>44.192100000000003</v>
      </c>
      <c r="G714" s="1">
        <v>7.0179999999999998</v>
      </c>
      <c r="H714" s="1">
        <v>10.4267</v>
      </c>
      <c r="I714" s="1">
        <v>104.6698</v>
      </c>
      <c r="J714" s="1">
        <f t="shared" si="79"/>
        <v>102.9271048</v>
      </c>
      <c r="K714" s="1">
        <v>1.6690400000000238</v>
      </c>
      <c r="L714" s="1">
        <f t="shared" si="80"/>
        <v>-11.963816179775279</v>
      </c>
      <c r="M714" s="1">
        <v>-229.67614</v>
      </c>
      <c r="N714" s="1">
        <v>-29.007339999999999</v>
      </c>
    </row>
    <row r="715" spans="1:14" x14ac:dyDescent="0.4">
      <c r="A715" s="5">
        <v>1949</v>
      </c>
      <c r="B715" s="1">
        <v>36.1</v>
      </c>
      <c r="C715" s="1" t="s">
        <v>726</v>
      </c>
      <c r="D715" s="3">
        <f>-2.222222*B715+2029.2222</f>
        <v>1948.9999857999999</v>
      </c>
      <c r="E715" s="1">
        <v>94.751300000000001</v>
      </c>
      <c r="F715" s="1">
        <v>8.8909000000000002</v>
      </c>
      <c r="G715" s="1">
        <v>1.9051</v>
      </c>
      <c r="H715" s="1">
        <v>12.6713</v>
      </c>
      <c r="I715" s="1">
        <v>39.820900000000002</v>
      </c>
      <c r="J715" s="1">
        <f t="shared" si="79"/>
        <v>36.220350600000003</v>
      </c>
      <c r="K715" s="1">
        <v>2.5541100000000085</v>
      </c>
      <c r="L715" s="1">
        <f t="shared" si="80"/>
        <v>74.402788426966296</v>
      </c>
      <c r="M715" s="1">
        <v>-227.85588999999999</v>
      </c>
      <c r="N715" s="1">
        <v>-29.151299999999999</v>
      </c>
    </row>
    <row r="716" spans="1:14" x14ac:dyDescent="0.4">
      <c r="A716" s="5"/>
      <c r="B716" s="1">
        <v>36.15</v>
      </c>
      <c r="C716" s="1" t="s">
        <v>727</v>
      </c>
      <c r="D716" s="3">
        <f t="shared" ref="D716:D723" si="81">-2.222222*B716+2029.2222</f>
        <v>1948.8888746999999</v>
      </c>
      <c r="E716" s="1">
        <v>73.751900000000006</v>
      </c>
      <c r="F716" s="1">
        <v>38.677300000000002</v>
      </c>
      <c r="G716" s="1">
        <v>7.6786000000000003</v>
      </c>
      <c r="H716" s="1">
        <v>9.8399000000000001</v>
      </c>
      <c r="I716" s="1">
        <v>85.822299999999998</v>
      </c>
      <c r="J716" s="1">
        <f t="shared" si="79"/>
        <v>83.019727799999998</v>
      </c>
      <c r="K716" s="1">
        <v>3.1129200000000026</v>
      </c>
      <c r="L716" s="1">
        <f t="shared" si="80"/>
        <v>27.111603483146077</v>
      </c>
      <c r="M716" s="1">
        <v>-233.42148</v>
      </c>
      <c r="N716" s="1">
        <v>-29.41816</v>
      </c>
    </row>
    <row r="717" spans="1:14" x14ac:dyDescent="0.4">
      <c r="A717" s="5"/>
      <c r="B717" s="1">
        <v>36.200000000000003</v>
      </c>
      <c r="C717" s="1" t="s">
        <v>728</v>
      </c>
      <c r="D717" s="3">
        <f t="shared" si="81"/>
        <v>1948.7777635999998</v>
      </c>
      <c r="E717" s="1">
        <v>11.1798</v>
      </c>
      <c r="F717" s="1">
        <v>9.7645999999999997</v>
      </c>
      <c r="G717" s="1">
        <v>1.6226</v>
      </c>
      <c r="H717" s="1">
        <v>2.1964999999999999</v>
      </c>
      <c r="I717" s="1">
        <v>37.6569</v>
      </c>
      <c r="J717" s="1">
        <f t="shared" si="79"/>
        <v>37.232067600000001</v>
      </c>
      <c r="K717" s="1">
        <v>2.3825799999999902</v>
      </c>
      <c r="L717" s="1">
        <f t="shared" si="80"/>
        <v>-9.7370919101123583</v>
      </c>
      <c r="M717" s="1">
        <v>-233.90631999999999</v>
      </c>
      <c r="N717" s="1">
        <v>-29.315300000000001</v>
      </c>
    </row>
    <row r="718" spans="1:14" x14ac:dyDescent="0.4">
      <c r="A718" s="5"/>
      <c r="B718" s="1">
        <v>36.25</v>
      </c>
      <c r="C718" s="1" t="s">
        <v>729</v>
      </c>
      <c r="D718" s="3">
        <f t="shared" si="81"/>
        <v>1948.6666524999998</v>
      </c>
      <c r="E718" s="1">
        <v>16.906500000000001</v>
      </c>
      <c r="F718" s="1">
        <v>26.9635</v>
      </c>
      <c r="G718" s="1">
        <v>4.3207000000000004</v>
      </c>
      <c r="H718" s="1">
        <v>4.7081</v>
      </c>
      <c r="I718" s="1">
        <v>69.493399999999994</v>
      </c>
      <c r="J718" s="1">
        <f t="shared" si="79"/>
        <v>68.85095299999999</v>
      </c>
      <c r="K718" s="1">
        <v>5.3545100000000048</v>
      </c>
      <c r="L718" s="1">
        <f t="shared" si="80"/>
        <v>-21.773810674157296</v>
      </c>
      <c r="M718" s="1">
        <v>-227.98446999999999</v>
      </c>
      <c r="N718" s="1">
        <v>-28.77515</v>
      </c>
    </row>
    <row r="719" spans="1:14" x14ac:dyDescent="0.4">
      <c r="A719" s="5"/>
      <c r="B719" s="1">
        <v>36.299999999999997</v>
      </c>
      <c r="C719" s="1" t="s">
        <v>730</v>
      </c>
      <c r="D719" s="3">
        <f t="shared" si="81"/>
        <v>1948.5555414</v>
      </c>
      <c r="E719" s="1">
        <v>61.726100000000002</v>
      </c>
      <c r="F719" s="1">
        <v>13.967000000000001</v>
      </c>
      <c r="G719" s="1">
        <v>3.1408</v>
      </c>
      <c r="H719" s="1">
        <v>9.7045999999999992</v>
      </c>
      <c r="I719" s="1">
        <v>55.875599999999999</v>
      </c>
      <c r="J719" s="1">
        <f t="shared" si="79"/>
        <v>53.530008199999997</v>
      </c>
      <c r="K719" s="1">
        <v>1.9238</v>
      </c>
      <c r="L719" s="1">
        <f t="shared" si="80"/>
        <v>31.653061685393261</v>
      </c>
      <c r="M719" s="1">
        <v>-226.91973999999999</v>
      </c>
      <c r="N719" s="1">
        <v>-28.635380000000001</v>
      </c>
    </row>
    <row r="720" spans="1:14" x14ac:dyDescent="0.4">
      <c r="A720" s="5"/>
      <c r="B720" s="1">
        <v>36.35</v>
      </c>
      <c r="C720" s="1" t="s">
        <v>731</v>
      </c>
      <c r="D720" s="3">
        <f t="shared" si="81"/>
        <v>1948.4444303</v>
      </c>
      <c r="E720" s="1">
        <v>80.338999999999999</v>
      </c>
      <c r="F720" s="1">
        <v>48.145800000000001</v>
      </c>
      <c r="G720" s="1">
        <v>8.2680000000000007</v>
      </c>
      <c r="H720" s="1">
        <v>8.1142000000000003</v>
      </c>
      <c r="I720" s="1">
        <v>81.685000000000002</v>
      </c>
      <c r="J720" s="1">
        <f t="shared" si="79"/>
        <v>78.632118000000006</v>
      </c>
      <c r="K720" s="1">
        <v>0.61608000000001084</v>
      </c>
      <c r="L720" s="1">
        <f t="shared" si="80"/>
        <v>36.163652808988758</v>
      </c>
      <c r="M720" s="1">
        <v>-233.89661000000001</v>
      </c>
      <c r="N720" s="1">
        <v>-29.472989999999999</v>
      </c>
    </row>
    <row r="721" spans="1:14" x14ac:dyDescent="0.4">
      <c r="A721" s="5"/>
      <c r="B721" s="1">
        <v>36.4</v>
      </c>
      <c r="C721" s="1" t="s">
        <v>732</v>
      </c>
      <c r="D721" s="3">
        <f t="shared" si="81"/>
        <v>1948.3333192</v>
      </c>
      <c r="E721" s="1">
        <v>56.369300000000003</v>
      </c>
      <c r="F721" s="1">
        <v>20.8384</v>
      </c>
      <c r="G721" s="1">
        <v>3.0619000000000001</v>
      </c>
      <c r="H721" s="1">
        <v>8.7265999999999995</v>
      </c>
      <c r="I721" s="1">
        <v>47.488500000000002</v>
      </c>
      <c r="J721" s="1">
        <f t="shared" si="79"/>
        <v>45.346466599999999</v>
      </c>
      <c r="K721" s="1">
        <v>2.2167300000000125</v>
      </c>
      <c r="L721" s="1">
        <f t="shared" si="80"/>
        <v>30.893756966292138</v>
      </c>
      <c r="M721" s="1">
        <v>-237.74823000000001</v>
      </c>
      <c r="N721" s="1">
        <v>-29.97166</v>
      </c>
    </row>
    <row r="722" spans="1:14" x14ac:dyDescent="0.4">
      <c r="A722" s="5"/>
      <c r="B722" s="1">
        <v>36.450000000000003</v>
      </c>
      <c r="C722" s="1" t="s">
        <v>733</v>
      </c>
      <c r="D722" s="3">
        <f t="shared" si="81"/>
        <v>1948.2222081</v>
      </c>
      <c r="E722" s="1">
        <v>37.256599999999999</v>
      </c>
      <c r="F722" s="1">
        <v>37.376800000000003</v>
      </c>
      <c r="G722" s="1">
        <v>7.9433999999999996</v>
      </c>
      <c r="H722" s="1">
        <v>5.4095000000000004</v>
      </c>
      <c r="I722" s="1">
        <v>76.303100000000001</v>
      </c>
      <c r="J722" s="1">
        <f t="shared" si="79"/>
        <v>74.887349200000003</v>
      </c>
      <c r="K722" s="1">
        <v>2.1633000000000209</v>
      </c>
      <c r="L722" s="1">
        <f t="shared" si="80"/>
        <v>-4.8149444943820257</v>
      </c>
      <c r="M722" s="1">
        <v>-249.7491</v>
      </c>
      <c r="N722" s="1">
        <v>-31.360990000000001</v>
      </c>
    </row>
    <row r="723" spans="1:14" x14ac:dyDescent="0.4">
      <c r="A723" s="5"/>
      <c r="B723" s="1">
        <v>36.5</v>
      </c>
      <c r="C723" s="1" t="s">
        <v>734</v>
      </c>
      <c r="D723" s="3">
        <f t="shared" si="81"/>
        <v>1948.111097</v>
      </c>
      <c r="E723" s="1">
        <v>27.73</v>
      </c>
      <c r="F723" s="1">
        <v>12.2879</v>
      </c>
      <c r="G723" s="1">
        <v>2.9577</v>
      </c>
      <c r="H723" s="1">
        <v>3.6957</v>
      </c>
      <c r="I723" s="1">
        <v>36.157899999999998</v>
      </c>
      <c r="J723" s="1">
        <f t="shared" si="79"/>
        <v>35.10416</v>
      </c>
      <c r="K723" s="1">
        <v>1.8873099999999852</v>
      </c>
      <c r="L723" s="1">
        <f t="shared" si="80"/>
        <v>8.0085617977528081</v>
      </c>
      <c r="M723" s="1">
        <v>-259.95209</v>
      </c>
      <c r="N723" s="1">
        <v>-32.544960000000003</v>
      </c>
    </row>
    <row r="724" spans="1:14" x14ac:dyDescent="0.4">
      <c r="A724" s="5">
        <v>1948</v>
      </c>
      <c r="B724" s="1">
        <v>36.549999999999997</v>
      </c>
      <c r="C724" s="1" t="s">
        <v>735</v>
      </c>
      <c r="D724" s="3">
        <f>-1.333333*B724+1996.733333</f>
        <v>1948.00001185</v>
      </c>
      <c r="E724" s="1">
        <v>31.721399999999999</v>
      </c>
      <c r="F724" s="1">
        <v>29.345700000000001</v>
      </c>
      <c r="G724" s="1">
        <v>10.8232</v>
      </c>
      <c r="H724" s="1">
        <v>11.536899999999999</v>
      </c>
      <c r="I724" s="1">
        <v>122.2567</v>
      </c>
      <c r="J724" s="1">
        <f t="shared" si="79"/>
        <v>121.0512868</v>
      </c>
      <c r="K724" s="1">
        <v>2.0250499999999931</v>
      </c>
      <c r="L724" s="1">
        <f t="shared" si="80"/>
        <v>-36.2849408988764</v>
      </c>
      <c r="M724" s="1">
        <v>-259.00889000000001</v>
      </c>
      <c r="N724" s="1">
        <v>-32.531759999999998</v>
      </c>
    </row>
    <row r="725" spans="1:14" x14ac:dyDescent="0.4">
      <c r="A725" s="5"/>
      <c r="B725" s="1">
        <v>36.6</v>
      </c>
      <c r="C725" s="1" t="s">
        <v>736</v>
      </c>
      <c r="D725" s="3">
        <f t="shared" ref="D725:D738" si="82">-1.333333*B725+1996.733333</f>
        <v>1947.9333451999998</v>
      </c>
      <c r="E725" s="1">
        <v>126.88500000000001</v>
      </c>
      <c r="F725" s="1">
        <v>12.3337</v>
      </c>
      <c r="G725" s="1">
        <v>10.3583</v>
      </c>
      <c r="H725" s="1">
        <v>12.8636</v>
      </c>
      <c r="I725" s="1">
        <v>64.499099999999999</v>
      </c>
      <c r="J725" s="1">
        <f t="shared" si="79"/>
        <v>59.67747</v>
      </c>
      <c r="K725" s="1">
        <v>1.1388200000000097</v>
      </c>
      <c r="L725" s="1">
        <f t="shared" si="80"/>
        <v>93.358331460674165</v>
      </c>
      <c r="M725" s="1">
        <v>-253.88641999999999</v>
      </c>
      <c r="N725" s="1">
        <v>-32.233530000000002</v>
      </c>
    </row>
    <row r="726" spans="1:14" x14ac:dyDescent="0.4">
      <c r="A726" s="5"/>
      <c r="B726" s="1">
        <v>36.65</v>
      </c>
      <c r="C726" s="1" t="s">
        <v>737</v>
      </c>
      <c r="D726" s="3">
        <f t="shared" si="82"/>
        <v>1947.86667855</v>
      </c>
      <c r="E726" s="1">
        <v>82.1143</v>
      </c>
      <c r="F726" s="1">
        <v>19.507400000000001</v>
      </c>
      <c r="G726" s="1">
        <v>8.1686999999999994</v>
      </c>
      <c r="H726" s="1">
        <v>23.718299999999999</v>
      </c>
      <c r="I726" s="1">
        <v>96.037499999999994</v>
      </c>
      <c r="J726" s="1">
        <f t="shared" si="79"/>
        <v>92.917156599999998</v>
      </c>
      <c r="K726" s="1">
        <v>0.40759000000002743</v>
      </c>
      <c r="L726" s="1">
        <f t="shared" si="80"/>
        <v>29.913650224719106</v>
      </c>
      <c r="M726" s="1">
        <v>-246.57011</v>
      </c>
      <c r="N726" s="1">
        <v>-31.396889999999999</v>
      </c>
    </row>
    <row r="727" spans="1:14" x14ac:dyDescent="0.4">
      <c r="A727" s="5"/>
      <c r="B727" s="1">
        <v>36.700000000000003</v>
      </c>
      <c r="C727" s="1" t="s">
        <v>738</v>
      </c>
      <c r="D727" s="3">
        <f t="shared" si="82"/>
        <v>1947.8000118999998</v>
      </c>
      <c r="E727" s="1">
        <v>61.127899999999997</v>
      </c>
      <c r="F727" s="1">
        <v>9.0434000000000001</v>
      </c>
      <c r="G727" s="1">
        <v>6.15</v>
      </c>
      <c r="H727" s="1">
        <v>11.653</v>
      </c>
      <c r="I727" s="1">
        <v>34.367800000000003</v>
      </c>
      <c r="J727" s="1">
        <f t="shared" si="79"/>
        <v>32.044939800000002</v>
      </c>
      <c r="K727" s="1">
        <v>1.2451899999999796</v>
      </c>
      <c r="L727" s="1">
        <f t="shared" si="80"/>
        <v>43.125124831460667</v>
      </c>
      <c r="M727" s="1">
        <v>-241.22787</v>
      </c>
      <c r="N727" s="1">
        <v>-30.68526</v>
      </c>
    </row>
    <row r="728" spans="1:14" x14ac:dyDescent="0.4">
      <c r="A728" s="5"/>
      <c r="B728" s="1">
        <v>36.75</v>
      </c>
      <c r="C728" s="1" t="s">
        <v>739</v>
      </c>
      <c r="D728" s="3">
        <f t="shared" si="82"/>
        <v>1947.73334525</v>
      </c>
      <c r="E728" s="1">
        <v>34.383499999999998</v>
      </c>
      <c r="F728" s="1">
        <v>14.911099999999999</v>
      </c>
      <c r="G728" s="1">
        <v>2.6869000000000001</v>
      </c>
      <c r="H728" s="1">
        <v>9.8832000000000004</v>
      </c>
      <c r="I728" s="1">
        <v>85.187700000000007</v>
      </c>
      <c r="J728" s="1">
        <f t="shared" si="79"/>
        <v>83.881127000000006</v>
      </c>
      <c r="K728" s="1">
        <v>3.9818200000000274</v>
      </c>
      <c r="L728" s="1">
        <f t="shared" si="80"/>
        <v>-12.740728651685401</v>
      </c>
      <c r="M728" s="1">
        <v>-239.71591000000001</v>
      </c>
      <c r="N728" s="1">
        <v>-30.574390000000001</v>
      </c>
    </row>
    <row r="729" spans="1:14" x14ac:dyDescent="0.4">
      <c r="A729" s="5"/>
      <c r="B729" s="1">
        <v>36.799999999999997</v>
      </c>
      <c r="C729" s="1" t="s">
        <v>740</v>
      </c>
      <c r="D729" s="3">
        <f t="shared" si="82"/>
        <v>1947.6666785999998</v>
      </c>
      <c r="E729" s="1">
        <v>62.642699999999998</v>
      </c>
      <c r="F729" s="1">
        <v>18.494399999999999</v>
      </c>
      <c r="G729" s="1">
        <v>3.4270999999999998</v>
      </c>
      <c r="H729" s="1">
        <v>9.3812999999999995</v>
      </c>
      <c r="I729" s="1">
        <v>30.615100000000002</v>
      </c>
      <c r="J729" s="1">
        <f t="shared" si="79"/>
        <v>28.234677400000002</v>
      </c>
      <c r="K729" s="1">
        <v>4.6050099999999929</v>
      </c>
      <c r="L729" s="1">
        <f t="shared" si="80"/>
        <v>46.780521685393254</v>
      </c>
      <c r="M729" s="1">
        <v>-242.92916</v>
      </c>
      <c r="N729" s="1">
        <v>-30.90747</v>
      </c>
    </row>
    <row r="730" spans="1:14" x14ac:dyDescent="0.4">
      <c r="A730" s="5"/>
      <c r="B730" s="1">
        <v>36.85</v>
      </c>
      <c r="C730" s="1" t="s">
        <v>741</v>
      </c>
      <c r="D730" s="3">
        <f t="shared" si="82"/>
        <v>1947.60001195</v>
      </c>
      <c r="E730" s="1">
        <v>17.721499999999999</v>
      </c>
      <c r="F730" s="1">
        <v>26.694800000000001</v>
      </c>
      <c r="G730" s="1">
        <v>2.4527999999999999</v>
      </c>
      <c r="H730" s="1">
        <v>7.5544000000000002</v>
      </c>
      <c r="I730" s="1">
        <v>79.173400000000001</v>
      </c>
      <c r="J730" s="1">
        <f t="shared" si="79"/>
        <v>78.499983</v>
      </c>
      <c r="K730" s="1">
        <v>4.2542100000000005</v>
      </c>
      <c r="L730" s="1">
        <f t="shared" si="80"/>
        <v>-26.379614044943821</v>
      </c>
      <c r="M730" s="1">
        <v>-247.81701000000001</v>
      </c>
      <c r="N730" s="1">
        <v>-31.551469999999998</v>
      </c>
    </row>
    <row r="731" spans="1:14" x14ac:dyDescent="0.4">
      <c r="B731" s="1">
        <v>36.9</v>
      </c>
      <c r="C731" s="1" t="s">
        <v>742</v>
      </c>
      <c r="D731" s="3">
        <f t="shared" si="82"/>
        <v>1947.5333452999998</v>
      </c>
      <c r="E731" s="1">
        <v>23.317399999999999</v>
      </c>
      <c r="F731" s="1">
        <v>9.7605000000000004</v>
      </c>
      <c r="G731" s="1">
        <v>1.8664000000000001</v>
      </c>
      <c r="H731" s="1">
        <v>3.7290000000000001</v>
      </c>
      <c r="I731" s="1">
        <v>19.512799999999999</v>
      </c>
      <c r="J731" s="1">
        <f t="shared" si="79"/>
        <v>18.626738799999998</v>
      </c>
      <c r="K731" s="1">
        <v>4.8792100000000005</v>
      </c>
      <c r="L731" s="1">
        <f t="shared" si="80"/>
        <v>12.85294</v>
      </c>
      <c r="M731" s="1">
        <v>-251.76302999999999</v>
      </c>
      <c r="N731" s="1">
        <v>-31.67456</v>
      </c>
    </row>
    <row r="732" spans="1:14" x14ac:dyDescent="0.4">
      <c r="A732" s="5"/>
      <c r="B732" s="1">
        <v>36.950000000000003</v>
      </c>
      <c r="C732" s="1" t="s">
        <v>743</v>
      </c>
      <c r="D732" s="3">
        <f t="shared" si="82"/>
        <v>1947.4666786499999</v>
      </c>
      <c r="E732" s="1">
        <v>6.9090999999999996</v>
      </c>
      <c r="F732" s="1">
        <v>20.230599999999999</v>
      </c>
      <c r="G732" s="1">
        <v>1.7381</v>
      </c>
      <c r="H732" s="1">
        <v>3.0325000000000002</v>
      </c>
      <c r="I732" s="1">
        <v>56.005400000000002</v>
      </c>
      <c r="J732" s="1">
        <f t="shared" si="79"/>
        <v>55.742854200000004</v>
      </c>
      <c r="K732" s="1">
        <v>4.330600000000004</v>
      </c>
      <c r="L732" s="1">
        <f t="shared" si="80"/>
        <v>-24.407110224719105</v>
      </c>
      <c r="M732" s="1">
        <v>-251.84914000000001</v>
      </c>
      <c r="N732" s="1">
        <v>-31.94802</v>
      </c>
    </row>
    <row r="733" spans="1:14" x14ac:dyDescent="0.4">
      <c r="B733" s="1">
        <v>37</v>
      </c>
      <c r="C733" s="1" t="s">
        <v>744</v>
      </c>
      <c r="D733" s="3">
        <f t="shared" si="82"/>
        <v>1947.4000119999998</v>
      </c>
      <c r="E733" s="1">
        <v>62.579799999999999</v>
      </c>
      <c r="F733" s="1">
        <v>6.8131000000000004</v>
      </c>
      <c r="G733" s="1">
        <v>2.2658999999999998</v>
      </c>
      <c r="H733" s="1">
        <v>9.6729000000000003</v>
      </c>
      <c r="I733" s="1">
        <v>32.1828</v>
      </c>
      <c r="J733" s="1">
        <f t="shared" si="79"/>
        <v>29.804767600000002</v>
      </c>
      <c r="K733" s="1">
        <v>4.5947499999999764</v>
      </c>
      <c r="L733" s="1">
        <f t="shared" si="80"/>
        <v>45.835548539325842</v>
      </c>
      <c r="M733" s="1">
        <v>-250.35811000000001</v>
      </c>
      <c r="N733" s="1">
        <v>-31.822600000000001</v>
      </c>
    </row>
    <row r="734" spans="1:14" x14ac:dyDescent="0.4">
      <c r="A734" s="5"/>
      <c r="B734" s="1">
        <v>37.049999999999997</v>
      </c>
      <c r="C734" s="1" t="s">
        <v>745</v>
      </c>
      <c r="D734" s="3">
        <f t="shared" si="82"/>
        <v>1947.3333453499999</v>
      </c>
      <c r="E734" s="1">
        <v>20.1004</v>
      </c>
      <c r="F734" s="1">
        <v>26.1281</v>
      </c>
      <c r="G734" s="1">
        <v>3.4455</v>
      </c>
      <c r="H734" s="1">
        <v>3.1915</v>
      </c>
      <c r="I734" s="1">
        <v>116.3447</v>
      </c>
      <c r="J734" s="1">
        <f t="shared" si="79"/>
        <v>115.58088480000001</v>
      </c>
      <c r="K734" s="1">
        <v>1.6334500000000105</v>
      </c>
      <c r="L734" s="1">
        <f t="shared" si="80"/>
        <v>-44.832681348314615</v>
      </c>
      <c r="M734" s="1">
        <v>-250.43322000000001</v>
      </c>
      <c r="N734" s="1">
        <v>-31.792010000000001</v>
      </c>
    </row>
    <row r="735" spans="1:14" x14ac:dyDescent="0.4">
      <c r="B735" s="1">
        <v>37.1</v>
      </c>
      <c r="C735" s="1" t="s">
        <v>746</v>
      </c>
      <c r="D735" s="3">
        <f t="shared" si="82"/>
        <v>1947.2666786999998</v>
      </c>
      <c r="E735" s="1">
        <v>150.56639999999999</v>
      </c>
      <c r="F735" s="1">
        <v>12.2745</v>
      </c>
      <c r="G735" s="1">
        <v>7.3757999999999999</v>
      </c>
      <c r="H735" s="1">
        <v>18.358699999999999</v>
      </c>
      <c r="I735" s="1">
        <v>43.752299999999998</v>
      </c>
      <c r="J735" s="1">
        <f t="shared" si="79"/>
        <v>38.030776799999998</v>
      </c>
      <c r="K735" s="1">
        <v>3.7350199999999916</v>
      </c>
      <c r="L735" s="1">
        <f t="shared" si="80"/>
        <v>129.20079505617977</v>
      </c>
      <c r="M735" s="1">
        <v>-252.75591</v>
      </c>
      <c r="N735" s="1">
        <v>-31.977440000000001</v>
      </c>
    </row>
    <row r="736" spans="1:14" x14ac:dyDescent="0.4">
      <c r="A736" s="5"/>
      <c r="B736" s="1">
        <v>37.15</v>
      </c>
      <c r="C736" s="1" t="s">
        <v>747</v>
      </c>
      <c r="D736" s="3">
        <f t="shared" si="82"/>
        <v>1947.2000120499999</v>
      </c>
      <c r="E736" s="1">
        <v>9.5958000000000006</v>
      </c>
      <c r="F736" s="1">
        <v>18.657599999999999</v>
      </c>
      <c r="G736" s="1">
        <v>2.1067999999999998</v>
      </c>
      <c r="H736" s="1">
        <v>2.8578000000000001</v>
      </c>
      <c r="I736" s="1">
        <v>82.6614</v>
      </c>
      <c r="J736" s="1">
        <f t="shared" si="79"/>
        <v>82.296759600000001</v>
      </c>
      <c r="K736" s="1">
        <v>4.2226900000000001</v>
      </c>
      <c r="L736" s="1">
        <f t="shared" si="80"/>
        <v>-36.638334606741566</v>
      </c>
      <c r="M736" s="1">
        <v>-256.7072</v>
      </c>
      <c r="N736" s="1">
        <v>-32.444560000000003</v>
      </c>
    </row>
    <row r="737" spans="1:14" x14ac:dyDescent="0.4">
      <c r="B737" s="1">
        <v>37.200000000000003</v>
      </c>
      <c r="C737" s="1" t="s">
        <v>748</v>
      </c>
      <c r="D737" s="3">
        <f t="shared" si="82"/>
        <v>1947.1333453999998</v>
      </c>
      <c r="E737" s="1">
        <v>37.419199999999996</v>
      </c>
      <c r="F737" s="1">
        <v>10.394600000000001</v>
      </c>
      <c r="G737" s="1">
        <v>4.4093999999999998</v>
      </c>
      <c r="H737" s="1">
        <v>7.0244999999999997</v>
      </c>
      <c r="I737" s="1">
        <v>37.547800000000002</v>
      </c>
      <c r="J737" s="1">
        <f t="shared" si="79"/>
        <v>36.125870400000004</v>
      </c>
      <c r="K737" s="1">
        <v>3.902860000000004</v>
      </c>
      <c r="L737" s="1">
        <f t="shared" si="80"/>
        <v>17.123767191011229</v>
      </c>
      <c r="M737" s="1">
        <v>-262.26222000000001</v>
      </c>
      <c r="N737" s="1">
        <v>-32.98265</v>
      </c>
    </row>
    <row r="738" spans="1:14" x14ac:dyDescent="0.4">
      <c r="A738" s="5"/>
      <c r="B738" s="1">
        <v>37.25</v>
      </c>
      <c r="C738" s="1" t="s">
        <v>749</v>
      </c>
      <c r="D738" s="3">
        <f t="shared" si="82"/>
        <v>1947.0666787499999</v>
      </c>
      <c r="E738" s="1">
        <v>22.296500000000002</v>
      </c>
      <c r="F738" s="1">
        <v>14.2601</v>
      </c>
      <c r="G738" s="1">
        <v>4.1124999999999998</v>
      </c>
      <c r="H738" s="1">
        <v>5.2085999999999997</v>
      </c>
      <c r="I738" s="1">
        <v>95.01</v>
      </c>
      <c r="J738" s="1">
        <f t="shared" si="79"/>
        <v>94.162733000000003</v>
      </c>
      <c r="K738" s="1">
        <v>3.0636100000000113</v>
      </c>
      <c r="L738" s="1">
        <f t="shared" si="80"/>
        <v>-30.603911797752808</v>
      </c>
      <c r="M738" s="1">
        <v>-264.24572000000001</v>
      </c>
      <c r="N738" s="1">
        <v>-33.201059999999998</v>
      </c>
    </row>
    <row r="739" spans="1:14" x14ac:dyDescent="0.4">
      <c r="A739" s="1">
        <v>1947</v>
      </c>
      <c r="B739" s="1">
        <v>37.299999999999997</v>
      </c>
      <c r="C739" s="1" t="s">
        <v>750</v>
      </c>
      <c r="D739" s="3">
        <f>-1.666667*B739+2009.166667</f>
        <v>1946.9999879</v>
      </c>
      <c r="E739" s="1">
        <v>80.981099999999998</v>
      </c>
      <c r="F739" s="1">
        <v>7.1391999999999998</v>
      </c>
      <c r="G739" s="1">
        <v>5.4042000000000003</v>
      </c>
      <c r="H739" s="1">
        <v>11.8729</v>
      </c>
      <c r="I739" s="1">
        <v>58.673200000000001</v>
      </c>
      <c r="J739" s="1">
        <f t="shared" si="79"/>
        <v>55.5959182</v>
      </c>
      <c r="K739" s="1">
        <v>2.8492800000000216</v>
      </c>
      <c r="L739" s="1">
        <f t="shared" si="80"/>
        <v>49.747438089887638</v>
      </c>
      <c r="M739" s="1">
        <v>-260.24914000000001</v>
      </c>
      <c r="N739" s="1">
        <v>-32.61694</v>
      </c>
    </row>
    <row r="740" spans="1:14" x14ac:dyDescent="0.4">
      <c r="A740" s="5"/>
      <c r="B740" s="1">
        <v>37.35</v>
      </c>
      <c r="C740" s="1" t="s">
        <v>751</v>
      </c>
      <c r="D740" s="3">
        <f t="shared" ref="D740:D750" si="83">-1.666667*B740+2009.166667</f>
        <v>1946.91665455</v>
      </c>
      <c r="E740" s="1">
        <v>78.536500000000004</v>
      </c>
      <c r="F740" s="1">
        <v>22.006900000000002</v>
      </c>
      <c r="G740" s="1">
        <v>5.2032999999999996</v>
      </c>
      <c r="H740" s="1">
        <v>29.402999999999999</v>
      </c>
      <c r="I740" s="1">
        <v>88.4315</v>
      </c>
      <c r="J740" s="1">
        <f t="shared" si="79"/>
        <v>85.447113000000002</v>
      </c>
      <c r="K740" s="1">
        <v>1.5989799999999832</v>
      </c>
      <c r="L740" s="1">
        <f t="shared" si="80"/>
        <v>30.532503932584277</v>
      </c>
      <c r="M740" s="1">
        <v>-250.96394000000001</v>
      </c>
      <c r="N740" s="1">
        <v>-31.381070000000001</v>
      </c>
    </row>
    <row r="741" spans="1:14" x14ac:dyDescent="0.4">
      <c r="B741" s="1">
        <v>37.4</v>
      </c>
      <c r="C741" s="1" t="s">
        <v>752</v>
      </c>
      <c r="D741" s="3">
        <f t="shared" si="83"/>
        <v>1946.8333212</v>
      </c>
      <c r="E741" s="1">
        <v>103.74039999999999</v>
      </c>
      <c r="F741" s="1">
        <v>17.333500000000001</v>
      </c>
      <c r="G741" s="1">
        <v>5.3906000000000001</v>
      </c>
      <c r="H741" s="1">
        <v>14.578799999999999</v>
      </c>
      <c r="I741" s="1">
        <v>36.672800000000002</v>
      </c>
      <c r="J741" s="1">
        <f t="shared" si="79"/>
        <v>32.7306648</v>
      </c>
      <c r="K741" s="1">
        <v>1.3627599999999802</v>
      </c>
      <c r="L741" s="1">
        <f t="shared" si="80"/>
        <v>85.352386067415722</v>
      </c>
      <c r="M741" s="1">
        <v>-233.09854000000001</v>
      </c>
      <c r="N741" s="1">
        <v>-29.239239999999999</v>
      </c>
    </row>
    <row r="742" spans="1:14" x14ac:dyDescent="0.4">
      <c r="A742" s="5"/>
      <c r="B742" s="1">
        <v>37.450000000000003</v>
      </c>
      <c r="C742" s="6" t="s">
        <v>753</v>
      </c>
      <c r="D742" s="3">
        <f t="shared" si="83"/>
        <v>1946.74998785</v>
      </c>
      <c r="E742" s="6">
        <v>23.119</v>
      </c>
      <c r="F742" s="6">
        <v>2.6358000000000001</v>
      </c>
      <c r="G742" s="6">
        <v>4.1504000000000003</v>
      </c>
      <c r="H742" s="6">
        <v>6.5423</v>
      </c>
      <c r="I742" s="6">
        <v>46.926099999999998</v>
      </c>
      <c r="J742" s="1">
        <f t="shared" si="79"/>
        <v>46.047578000000001</v>
      </c>
      <c r="K742" s="1">
        <v>0.68637999999998556</v>
      </c>
      <c r="L742" s="1">
        <f t="shared" si="80"/>
        <v>-2.7504258426966288</v>
      </c>
      <c r="M742" s="1">
        <v>-230.22139000000001</v>
      </c>
      <c r="N742" s="1">
        <v>-28.800799999999999</v>
      </c>
    </row>
    <row r="743" spans="1:14" x14ac:dyDescent="0.4">
      <c r="B743" s="1">
        <v>37.5</v>
      </c>
      <c r="C743" s="1" t="s">
        <v>754</v>
      </c>
      <c r="D743" s="3">
        <f t="shared" si="83"/>
        <v>1946.6666545</v>
      </c>
      <c r="E743" s="1">
        <v>51.585299999999997</v>
      </c>
      <c r="F743" s="1">
        <v>15.392300000000001</v>
      </c>
      <c r="G743" s="1">
        <v>5.8666999999999998</v>
      </c>
      <c r="H743" s="1">
        <v>9.0079999999999991</v>
      </c>
      <c r="I743" s="1">
        <v>55.565899999999999</v>
      </c>
      <c r="J743" s="1">
        <f t="shared" si="79"/>
        <v>53.605658599999998</v>
      </c>
      <c r="K743" s="1">
        <v>8.4620000000001028E-2</v>
      </c>
      <c r="L743" s="1">
        <f t="shared" si="80"/>
        <v>21.469761460674157</v>
      </c>
      <c r="M743" s="1">
        <v>-223.04795999999999</v>
      </c>
      <c r="N743" s="1">
        <v>-28.115880000000001</v>
      </c>
    </row>
    <row r="744" spans="1:14" x14ac:dyDescent="0.4">
      <c r="A744" s="5"/>
      <c r="B744" s="1">
        <v>37.549999999999997</v>
      </c>
      <c r="C744" s="1" t="s">
        <v>755</v>
      </c>
      <c r="D744" s="3">
        <f t="shared" si="83"/>
        <v>1946.5833211500001</v>
      </c>
      <c r="E744" s="1">
        <v>46.079500000000003</v>
      </c>
      <c r="F744" s="1">
        <v>15.2966</v>
      </c>
      <c r="G744" s="1">
        <v>6.4</v>
      </c>
      <c r="H744" s="1">
        <v>9.9268000000000001</v>
      </c>
      <c r="I744" s="1">
        <v>113.1096</v>
      </c>
      <c r="J744" s="1">
        <f t="shared" si="79"/>
        <v>111.35857900000001</v>
      </c>
      <c r="K744" s="1">
        <v>0.81537999999997623</v>
      </c>
      <c r="L744" s="1">
        <f t="shared" si="80"/>
        <v>-16.481499438202249</v>
      </c>
      <c r="M744" s="1">
        <v>-236.01175000000001</v>
      </c>
      <c r="N744" s="1">
        <v>-30.029800000000002</v>
      </c>
    </row>
    <row r="745" spans="1:14" x14ac:dyDescent="0.4">
      <c r="B745" s="1">
        <v>37.6</v>
      </c>
      <c r="C745" s="1" t="s">
        <v>756</v>
      </c>
      <c r="D745" s="3">
        <f t="shared" si="83"/>
        <v>1946.4999877999999</v>
      </c>
      <c r="E745" s="1">
        <v>41.408799999999999</v>
      </c>
      <c r="F745" s="1">
        <v>10.054</v>
      </c>
      <c r="G745" s="1">
        <v>4.0532000000000004</v>
      </c>
      <c r="H745" s="1">
        <v>7.0960999999999999</v>
      </c>
      <c r="I745" s="1">
        <v>40.340600000000002</v>
      </c>
      <c r="J745" s="1">
        <f t="shared" si="79"/>
        <v>38.767065600000002</v>
      </c>
      <c r="K745" s="1">
        <v>0.18500999999997703</v>
      </c>
      <c r="L745" s="1">
        <f t="shared" si="80"/>
        <v>19.629549662921345</v>
      </c>
      <c r="M745" s="1">
        <v>-239.15236999999999</v>
      </c>
      <c r="N745" s="1">
        <v>-30.309740000000001</v>
      </c>
    </row>
    <row r="746" spans="1:14" x14ac:dyDescent="0.4">
      <c r="A746" s="5"/>
      <c r="B746" s="1">
        <v>37.65</v>
      </c>
      <c r="C746" s="1" t="s">
        <v>757</v>
      </c>
      <c r="D746" s="3">
        <f t="shared" si="83"/>
        <v>1946.4166544499999</v>
      </c>
      <c r="E746" s="1">
        <v>14.8674</v>
      </c>
      <c r="F746" s="1">
        <v>24.5671</v>
      </c>
      <c r="G746" s="1">
        <v>4.4600999999999997</v>
      </c>
      <c r="H746" s="1">
        <v>5.6414</v>
      </c>
      <c r="I746" s="1">
        <v>81.228700000000003</v>
      </c>
      <c r="J746" s="1">
        <f t="shared" si="79"/>
        <v>80.663738800000004</v>
      </c>
      <c r="K746" s="1">
        <v>1.8790800000000161</v>
      </c>
      <c r="L746" s="1">
        <f t="shared" si="80"/>
        <v>-30.44930719101124</v>
      </c>
      <c r="M746" s="1">
        <v>-254.07543000000001</v>
      </c>
      <c r="N746" s="1">
        <v>-32.007910000000003</v>
      </c>
    </row>
    <row r="747" spans="1:14" x14ac:dyDescent="0.4">
      <c r="B747" s="1">
        <v>37.700000000000003</v>
      </c>
      <c r="C747" s="1" t="s">
        <v>758</v>
      </c>
      <c r="D747" s="3">
        <f t="shared" si="83"/>
        <v>1946.3333210999999</v>
      </c>
      <c r="E747" s="1">
        <v>31.305099999999999</v>
      </c>
      <c r="F747" s="1">
        <v>6.7461000000000002</v>
      </c>
      <c r="G747" s="1">
        <v>14.806699999999999</v>
      </c>
      <c r="H747" s="1">
        <v>5.0240999999999998</v>
      </c>
      <c r="I747" s="1">
        <v>40.750399999999999</v>
      </c>
      <c r="J747" s="1">
        <f t="shared" si="79"/>
        <v>39.560806200000002</v>
      </c>
      <c r="K747" s="1">
        <v>4.2266500000000065</v>
      </c>
      <c r="L747" s="1">
        <f t="shared" si="80"/>
        <v>9.0799279775280901</v>
      </c>
      <c r="M747" s="1">
        <v>-274.58863000000002</v>
      </c>
      <c r="N747" s="1">
        <v>-34.787779999999998</v>
      </c>
    </row>
    <row r="748" spans="1:14" x14ac:dyDescent="0.4">
      <c r="A748" s="5"/>
      <c r="B748" s="1">
        <v>37.75</v>
      </c>
      <c r="C748" s="1" t="s">
        <v>759</v>
      </c>
      <c r="D748" s="3">
        <f t="shared" si="83"/>
        <v>1946.2499877499999</v>
      </c>
      <c r="E748" s="1">
        <v>26.449100000000001</v>
      </c>
      <c r="F748" s="1">
        <v>19.846299999999999</v>
      </c>
      <c r="G748" s="1">
        <v>4.1424000000000003</v>
      </c>
      <c r="H748" s="1">
        <v>4.6471999999999998</v>
      </c>
      <c r="I748" s="1">
        <v>129.23660000000001</v>
      </c>
      <c r="J748" s="1">
        <f t="shared" si="79"/>
        <v>128.2315342</v>
      </c>
      <c r="K748" s="1">
        <v>3.3255500000000211</v>
      </c>
      <c r="L748" s="1">
        <f t="shared" si="80"/>
        <v>-45.591087752808988</v>
      </c>
      <c r="M748" s="1">
        <v>-277.42325</v>
      </c>
      <c r="N748" s="1">
        <v>-35.151420000000002</v>
      </c>
    </row>
    <row r="749" spans="1:14" x14ac:dyDescent="0.4">
      <c r="B749" s="1">
        <v>37.799999999999997</v>
      </c>
      <c r="C749" s="1" t="s">
        <v>760</v>
      </c>
      <c r="D749" s="3">
        <f t="shared" si="83"/>
        <v>1946.1666544</v>
      </c>
      <c r="E749" s="1">
        <v>29.9574</v>
      </c>
      <c r="F749" s="1">
        <v>7.9836999999999998</v>
      </c>
      <c r="G749" s="1">
        <v>4.0587</v>
      </c>
      <c r="H749" s="1">
        <v>4.4158999999999997</v>
      </c>
      <c r="I749" s="1">
        <v>44.9315</v>
      </c>
      <c r="J749" s="1">
        <f t="shared" si="79"/>
        <v>43.793118800000002</v>
      </c>
      <c r="K749" s="1">
        <v>1.9878500000000088</v>
      </c>
      <c r="L749" s="1">
        <f t="shared" si="80"/>
        <v>5.3545242696629209</v>
      </c>
      <c r="M749" s="1">
        <v>-276.96422000000001</v>
      </c>
      <c r="N749" s="1">
        <v>-35.343919999999997</v>
      </c>
    </row>
    <row r="750" spans="1:14" x14ac:dyDescent="0.4">
      <c r="A750" s="5"/>
      <c r="B750" s="1">
        <v>37.85</v>
      </c>
      <c r="C750" s="1" t="s">
        <v>761</v>
      </c>
      <c r="D750" s="3">
        <f t="shared" si="83"/>
        <v>1946.08332105</v>
      </c>
      <c r="E750" s="1">
        <v>19.399000000000001</v>
      </c>
      <c r="F750" s="1">
        <v>14.0275</v>
      </c>
      <c r="G750" s="1">
        <v>4.1588000000000003</v>
      </c>
      <c r="H750" s="1">
        <v>3.2482000000000002</v>
      </c>
      <c r="I750" s="1">
        <v>90.384200000000007</v>
      </c>
      <c r="J750" s="1">
        <f t="shared" si="79"/>
        <v>89.647038000000009</v>
      </c>
      <c r="K750" s="1">
        <v>3.7136099999999601</v>
      </c>
      <c r="L750" s="1">
        <f t="shared" si="80"/>
        <v>-30.964504494382027</v>
      </c>
      <c r="M750" s="1">
        <v>-265.23628000000002</v>
      </c>
      <c r="N750" s="1">
        <v>-33.871960000000001</v>
      </c>
    </row>
    <row r="751" spans="1:14" x14ac:dyDescent="0.4">
      <c r="A751" s="1">
        <v>1946</v>
      </c>
      <c r="B751" s="1">
        <v>37.9</v>
      </c>
      <c r="C751" s="1" t="s">
        <v>762</v>
      </c>
      <c r="D751" s="3">
        <f>-1.538462*B751+2004.307692</f>
        <v>1945.9999822</v>
      </c>
      <c r="E751" s="1">
        <v>83.471199999999996</v>
      </c>
      <c r="F751" s="1">
        <v>3.0190999999999999</v>
      </c>
      <c r="G751" s="1">
        <v>6.9439000000000002</v>
      </c>
      <c r="H751" s="1">
        <v>13.4396</v>
      </c>
      <c r="I751" s="1">
        <v>43.769399999999997</v>
      </c>
      <c r="J751" s="1">
        <f t="shared" si="79"/>
        <v>40.597494399999995</v>
      </c>
      <c r="K751" s="1">
        <v>3.7881100000000174</v>
      </c>
      <c r="L751" s="1">
        <f t="shared" si="80"/>
        <v>60.663618876404499</v>
      </c>
      <c r="M751" s="1">
        <v>-261.75867</v>
      </c>
      <c r="N751" s="1">
        <v>-33.626829999999998</v>
      </c>
    </row>
    <row r="752" spans="1:14" x14ac:dyDescent="0.4">
      <c r="A752" s="5"/>
      <c r="B752" s="1">
        <v>37.950000000000003</v>
      </c>
      <c r="C752" s="1" t="s">
        <v>763</v>
      </c>
      <c r="D752" s="3">
        <f t="shared" ref="D752:D763" si="84">-1.538462*B752+2004.307692</f>
        <v>1945.9230591</v>
      </c>
      <c r="E752" s="1">
        <v>53.296700000000001</v>
      </c>
      <c r="F752" s="1">
        <v>13.2285</v>
      </c>
      <c r="G752" s="1">
        <v>5.0290999999999997</v>
      </c>
      <c r="H752" s="1">
        <v>10.8828</v>
      </c>
      <c r="I752" s="1">
        <v>97.945400000000006</v>
      </c>
      <c r="J752" s="1">
        <f t="shared" si="79"/>
        <v>95.920125400000003</v>
      </c>
      <c r="K752" s="1">
        <v>5.7871399999999653</v>
      </c>
      <c r="L752" s="1">
        <f t="shared" si="80"/>
        <v>-0.59101089887640512</v>
      </c>
      <c r="M752" s="1">
        <v>-251.24126000000001</v>
      </c>
      <c r="N752" s="1">
        <v>-32.345730000000003</v>
      </c>
    </row>
    <row r="753" spans="1:14" x14ac:dyDescent="0.4">
      <c r="B753" s="1">
        <v>38</v>
      </c>
      <c r="C753" s="1" t="s">
        <v>764</v>
      </c>
      <c r="D753" s="3">
        <f t="shared" si="84"/>
        <v>1945.8461360000001</v>
      </c>
      <c r="E753" s="1">
        <v>51.739800000000002</v>
      </c>
      <c r="F753" s="1">
        <v>7.1525999999999996</v>
      </c>
      <c r="G753" s="1">
        <v>5.7388000000000003</v>
      </c>
      <c r="H753" s="1">
        <v>11.9459</v>
      </c>
      <c r="I753" s="1">
        <v>37.352400000000003</v>
      </c>
      <c r="J753" s="1">
        <f t="shared" si="79"/>
        <v>35.386287600000003</v>
      </c>
      <c r="K753" s="1">
        <v>5.7393999999999892</v>
      </c>
      <c r="L753" s="1">
        <f t="shared" si="80"/>
        <v>31.859863146067418</v>
      </c>
      <c r="M753" s="1">
        <v>-234.25636</v>
      </c>
      <c r="N753" s="1">
        <v>-30.127199999999998</v>
      </c>
    </row>
    <row r="754" spans="1:14" x14ac:dyDescent="0.4">
      <c r="A754" s="5"/>
      <c r="B754" s="1">
        <v>38.049999999999997</v>
      </c>
      <c r="C754" s="1" t="s">
        <v>765</v>
      </c>
      <c r="D754" s="3">
        <f t="shared" si="84"/>
        <v>1945.7692129000002</v>
      </c>
      <c r="E754" s="1">
        <v>15.0314</v>
      </c>
      <c r="F754" s="1">
        <v>22.9315</v>
      </c>
      <c r="G754" s="1">
        <v>5.0298999999999996</v>
      </c>
      <c r="H754" s="1">
        <v>6.2156000000000002</v>
      </c>
      <c r="I754" s="1">
        <v>65.703000000000003</v>
      </c>
      <c r="J754" s="1">
        <f t="shared" si="79"/>
        <v>65.131806800000007</v>
      </c>
      <c r="K754" s="1">
        <v>7.2559699999999907</v>
      </c>
      <c r="L754" s="1">
        <f t="shared" si="80"/>
        <v>-21.559502696629217</v>
      </c>
      <c r="M754" s="1">
        <v>-230.48658</v>
      </c>
      <c r="N754" s="1">
        <v>-29.321179999999998</v>
      </c>
    </row>
    <row r="755" spans="1:14" x14ac:dyDescent="0.4">
      <c r="B755" s="1">
        <v>38.1</v>
      </c>
      <c r="C755" s="1" t="s">
        <v>766</v>
      </c>
      <c r="D755" s="3">
        <f t="shared" si="84"/>
        <v>1945.6922898</v>
      </c>
      <c r="E755" s="1">
        <v>32.5441</v>
      </c>
      <c r="F755" s="1">
        <v>7.7016</v>
      </c>
      <c r="G755" s="1">
        <v>7.4886999999999997</v>
      </c>
      <c r="H755" s="1">
        <v>3.3544999999999998</v>
      </c>
      <c r="I755" s="1">
        <v>31.694800000000001</v>
      </c>
      <c r="J755" s="1">
        <f t="shared" si="79"/>
        <v>30.4581242</v>
      </c>
      <c r="K755" s="1">
        <v>7.5245800000000145</v>
      </c>
      <c r="L755" s="1">
        <f t="shared" si="80"/>
        <v>15.432794269662921</v>
      </c>
      <c r="M755" s="1">
        <v>-214.97011000000001</v>
      </c>
      <c r="N755" s="1">
        <v>-27.701630000000002</v>
      </c>
    </row>
    <row r="756" spans="1:14" x14ac:dyDescent="0.4">
      <c r="A756" s="5"/>
      <c r="B756" s="1">
        <v>38.15</v>
      </c>
      <c r="C756" s="1" t="s">
        <v>767</v>
      </c>
      <c r="D756" s="3">
        <f t="shared" si="84"/>
        <v>1945.6153667000001</v>
      </c>
      <c r="E756" s="1">
        <v>9.3244000000000007</v>
      </c>
      <c r="F756" s="1">
        <v>23.8324</v>
      </c>
      <c r="G756" s="1">
        <v>2.5929000000000002</v>
      </c>
      <c r="H756" s="1">
        <v>3.9695</v>
      </c>
      <c r="I756" s="1">
        <v>46.454900000000002</v>
      </c>
      <c r="J756" s="1">
        <f t="shared" si="79"/>
        <v>46.100572800000002</v>
      </c>
      <c r="K756" s="1">
        <v>6.7612399999999866</v>
      </c>
      <c r="L756" s="1">
        <f t="shared" si="80"/>
        <v>-16.574798202247191</v>
      </c>
      <c r="M756" s="1">
        <v>-214.46268000000001</v>
      </c>
      <c r="N756" s="1">
        <v>-27.934170000000002</v>
      </c>
    </row>
    <row r="757" spans="1:14" x14ac:dyDescent="0.4">
      <c r="B757" s="1">
        <v>38.200000000000003</v>
      </c>
      <c r="C757" s="1" t="s">
        <v>768</v>
      </c>
      <c r="D757" s="3">
        <f t="shared" si="84"/>
        <v>1945.5384436000002</v>
      </c>
      <c r="E757" s="1">
        <v>18.329499999999999</v>
      </c>
      <c r="F757" s="1">
        <v>4.9179000000000004</v>
      </c>
      <c r="G757" s="1">
        <v>2.4443000000000001</v>
      </c>
      <c r="H757" s="1">
        <v>2.9266999999999999</v>
      </c>
      <c r="I757" s="1">
        <v>35.818600000000004</v>
      </c>
      <c r="J757" s="1">
        <f t="shared" si="79"/>
        <v>35.122079000000006</v>
      </c>
      <c r="K757" s="1">
        <v>4.0828599999999824</v>
      </c>
      <c r="L757" s="1">
        <f t="shared" si="80"/>
        <v>-1.4020050561797781</v>
      </c>
      <c r="M757" s="1">
        <v>-231.69626</v>
      </c>
      <c r="N757" s="1">
        <v>-28.28031</v>
      </c>
    </row>
    <row r="758" spans="1:14" x14ac:dyDescent="0.4">
      <c r="A758" s="5"/>
      <c r="B758" s="1">
        <v>38.25</v>
      </c>
      <c r="C758" s="1" t="s">
        <v>769</v>
      </c>
      <c r="D758" s="3">
        <f t="shared" si="84"/>
        <v>1945.4615205</v>
      </c>
      <c r="E758" s="1">
        <v>16.383099999999999</v>
      </c>
      <c r="F758" s="1">
        <v>22.7453</v>
      </c>
      <c r="G758" s="1">
        <v>7.1265999999999998</v>
      </c>
      <c r="H758" s="1">
        <v>5.2234999999999996</v>
      </c>
      <c r="I758" s="1">
        <v>81.474000000000004</v>
      </c>
      <c r="J758" s="1">
        <f t="shared" si="79"/>
        <v>80.851442200000008</v>
      </c>
      <c r="K758" s="1">
        <v>6.6429300000000069</v>
      </c>
      <c r="L758" s="1">
        <f t="shared" si="80"/>
        <v>-29.03905853932585</v>
      </c>
      <c r="M758" s="1">
        <v>-244.81036</v>
      </c>
      <c r="N758" s="1">
        <v>-29.15005</v>
      </c>
    </row>
    <row r="759" spans="1:14" x14ac:dyDescent="0.4">
      <c r="B759" s="1">
        <v>38.299999999999997</v>
      </c>
      <c r="C759" s="1" t="s">
        <v>770</v>
      </c>
      <c r="D759" s="3">
        <f t="shared" si="84"/>
        <v>1945.3845974000001</v>
      </c>
      <c r="E759" s="1">
        <v>27.171500000000002</v>
      </c>
      <c r="F759" s="1">
        <v>15.269399999999999</v>
      </c>
      <c r="G759" s="1">
        <v>8.7210000000000001</v>
      </c>
      <c r="H759" s="1">
        <v>3.8441000000000001</v>
      </c>
      <c r="I759" s="1">
        <v>35.153799999999997</v>
      </c>
      <c r="J759" s="1">
        <f t="shared" si="79"/>
        <v>34.121282999999998</v>
      </c>
      <c r="K759" s="1">
        <v>9.0106800000000078</v>
      </c>
      <c r="L759" s="1">
        <f t="shared" si="80"/>
        <v>8.002239887640453</v>
      </c>
      <c r="M759" s="1">
        <v>-220.01576</v>
      </c>
      <c r="N759" s="1">
        <v>-29.769359999999999</v>
      </c>
    </row>
    <row r="760" spans="1:14" x14ac:dyDescent="0.4">
      <c r="B760" s="1">
        <v>38.35</v>
      </c>
      <c r="C760" s="1" t="s">
        <v>771</v>
      </c>
      <c r="D760" s="3">
        <f t="shared" si="84"/>
        <v>1945.3076743000001</v>
      </c>
      <c r="E760" s="1">
        <v>6.7026000000000003</v>
      </c>
      <c r="F760" s="1">
        <v>11.138299999999999</v>
      </c>
      <c r="G760" s="1">
        <v>2.2768999999999999</v>
      </c>
      <c r="H760" s="1">
        <v>4.0658000000000003</v>
      </c>
      <c r="I760" s="1">
        <v>72.586100000000002</v>
      </c>
      <c r="J760" s="1">
        <f t="shared" si="79"/>
        <v>72.331401200000002</v>
      </c>
      <c r="K760" s="1">
        <v>-5.4537799999999947</v>
      </c>
      <c r="L760" s="1">
        <f t="shared" si="80"/>
        <v>-33.933018651685387</v>
      </c>
      <c r="M760" s="1">
        <v>-225.42203000000001</v>
      </c>
      <c r="N760" s="1">
        <v>-31.25836</v>
      </c>
    </row>
    <row r="761" spans="1:14" x14ac:dyDescent="0.4">
      <c r="B761" s="1">
        <v>38.4</v>
      </c>
      <c r="C761" s="1" t="s">
        <v>772</v>
      </c>
      <c r="D761" s="3">
        <f t="shared" si="84"/>
        <v>1945.2307512</v>
      </c>
      <c r="E761" s="1">
        <v>43.941800000000001</v>
      </c>
      <c r="F761" s="1">
        <v>13.721500000000001</v>
      </c>
      <c r="G761" s="1">
        <v>5.7742000000000004</v>
      </c>
      <c r="H761" s="1">
        <v>13.0861</v>
      </c>
      <c r="I761" s="1">
        <v>31.143799999999999</v>
      </c>
      <c r="J761" s="1">
        <f t="shared" si="79"/>
        <v>29.474011599999997</v>
      </c>
      <c r="K761" s="1">
        <v>-11.609960000000001</v>
      </c>
      <c r="L761" s="1">
        <f t="shared" si="80"/>
        <v>27.383366516853936</v>
      </c>
      <c r="M761" s="1">
        <v>-252.64717999999999</v>
      </c>
      <c r="N761" s="1">
        <v>-32.219470000000001</v>
      </c>
    </row>
    <row r="762" spans="1:14" x14ac:dyDescent="0.4">
      <c r="B762" s="1">
        <v>38.450000000000003</v>
      </c>
      <c r="C762" s="1" t="s">
        <v>773</v>
      </c>
      <c r="D762" s="3">
        <f t="shared" si="84"/>
        <v>1945.1538281000001</v>
      </c>
      <c r="E762" s="1">
        <v>122.68680000000001</v>
      </c>
      <c r="F762" s="1">
        <v>9.1161999999999992</v>
      </c>
      <c r="G762" s="1">
        <v>8.7650000000000006</v>
      </c>
      <c r="H762" s="1">
        <v>26.0322</v>
      </c>
      <c r="I762" s="1">
        <v>107.98439999999999</v>
      </c>
      <c r="J762" s="1">
        <f t="shared" si="79"/>
        <v>103.32230159999999</v>
      </c>
      <c r="K762" s="1">
        <v>18.139119999999991</v>
      </c>
      <c r="L762" s="1">
        <f t="shared" si="80"/>
        <v>64.640563146067421</v>
      </c>
      <c r="M762" s="1">
        <v>-254.70213000000001</v>
      </c>
      <c r="N762" s="1">
        <v>-32.39893</v>
      </c>
    </row>
    <row r="763" spans="1:14" x14ac:dyDescent="0.4">
      <c r="B763" s="1">
        <v>38.5</v>
      </c>
      <c r="C763" s="1" t="s">
        <v>774</v>
      </c>
      <c r="D763" s="3">
        <f t="shared" si="84"/>
        <v>1945.0769050000001</v>
      </c>
      <c r="E763" s="1">
        <v>133.02379999999999</v>
      </c>
      <c r="F763" s="1">
        <v>9.5225000000000009</v>
      </c>
      <c r="G763" s="1">
        <v>5.34</v>
      </c>
      <c r="H763" s="1">
        <v>13.632899999999999</v>
      </c>
      <c r="I763" s="1">
        <v>20.866499999999998</v>
      </c>
      <c r="J763" s="1">
        <f t="shared" si="79"/>
        <v>15.811595599999999</v>
      </c>
      <c r="K763" s="1">
        <v>24.644849999999991</v>
      </c>
      <c r="L763" s="1">
        <f t="shared" si="80"/>
        <v>124.14088112359551</v>
      </c>
      <c r="M763" s="1">
        <v>-258.12704000000002</v>
      </c>
      <c r="N763" s="1">
        <v>-32.785319999999999</v>
      </c>
    </row>
    <row r="764" spans="1:14" x14ac:dyDescent="0.4">
      <c r="A764" s="1">
        <v>1945</v>
      </c>
      <c r="B764" s="1">
        <v>38.549999999999997</v>
      </c>
      <c r="C764" s="1" t="s">
        <v>775</v>
      </c>
      <c r="D764" s="3">
        <f>-1.111111*B764+1987.833333</f>
        <v>1945.0000039500001</v>
      </c>
      <c r="E764" s="1">
        <v>25.669599999999999</v>
      </c>
      <c r="F764" s="1">
        <v>35.565199999999997</v>
      </c>
      <c r="G764" s="1">
        <v>5.5808</v>
      </c>
      <c r="H764" s="1">
        <v>9.9771000000000001</v>
      </c>
      <c r="I764" s="1">
        <v>92.005700000000004</v>
      </c>
      <c r="J764" s="1">
        <f t="shared" si="79"/>
        <v>91.030255199999999</v>
      </c>
      <c r="K764" s="1">
        <v>5.1085800000000177</v>
      </c>
      <c r="L764" s="1">
        <f t="shared" si="80"/>
        <v>-25.470992808988765</v>
      </c>
      <c r="M764" s="1">
        <v>-248.66658000000001</v>
      </c>
      <c r="N764" s="1">
        <v>-31.631139999999998</v>
      </c>
    </row>
    <row r="765" spans="1:14" x14ac:dyDescent="0.4">
      <c r="B765" s="1">
        <v>38.6</v>
      </c>
      <c r="C765" s="1" t="s">
        <v>776</v>
      </c>
      <c r="D765" s="3">
        <f t="shared" ref="D765:D781" si="85">-1.111111*B765+1987.833333</f>
        <v>1944.9444484000001</v>
      </c>
      <c r="E765" s="1">
        <v>17.712399999999999</v>
      </c>
      <c r="F765" s="1">
        <v>18.7332</v>
      </c>
      <c r="G765" s="1">
        <v>1.8951</v>
      </c>
      <c r="H765" s="1">
        <v>2.2635999999999998</v>
      </c>
      <c r="I765" s="1">
        <v>28.682099999999998</v>
      </c>
      <c r="J765" s="1">
        <f t="shared" si="79"/>
        <v>28.009028799999999</v>
      </c>
      <c r="K765" s="1">
        <v>4.489309999999989</v>
      </c>
      <c r="L765" s="1">
        <f t="shared" si="80"/>
        <v>1.9769905617977521</v>
      </c>
      <c r="M765" s="1">
        <v>-238.86568</v>
      </c>
      <c r="N765" s="1">
        <v>-30.3963</v>
      </c>
    </row>
    <row r="766" spans="1:14" x14ac:dyDescent="0.4">
      <c r="B766" s="1">
        <v>38.65</v>
      </c>
      <c r="C766" s="1" t="s">
        <v>777</v>
      </c>
      <c r="D766" s="3">
        <f t="shared" si="85"/>
        <v>1944.88889285</v>
      </c>
      <c r="E766" s="1">
        <v>24.9968</v>
      </c>
      <c r="F766" s="1">
        <v>39.468899999999998</v>
      </c>
      <c r="G766" s="1">
        <v>6.5724999999999998</v>
      </c>
      <c r="H766" s="1">
        <v>2.4752999999999998</v>
      </c>
      <c r="I766" s="1">
        <v>81.097300000000004</v>
      </c>
      <c r="J766" s="1">
        <f t="shared" si="79"/>
        <v>80.147421600000001</v>
      </c>
      <c r="K766" s="1">
        <v>4.1555199999999672</v>
      </c>
      <c r="L766" s="1">
        <f t="shared" si="80"/>
        <v>-20.029841348314605</v>
      </c>
      <c r="M766" s="1">
        <v>-229.84269</v>
      </c>
      <c r="N766" s="1">
        <v>-29.037369999999999</v>
      </c>
    </row>
    <row r="767" spans="1:14" x14ac:dyDescent="0.4">
      <c r="B767" s="1">
        <v>38.700000000000003</v>
      </c>
      <c r="C767" s="1" t="s">
        <v>778</v>
      </c>
      <c r="D767" s="3">
        <f t="shared" si="85"/>
        <v>1944.8333373</v>
      </c>
      <c r="E767" s="1">
        <v>28.842600000000001</v>
      </c>
      <c r="F767" s="1">
        <v>11.0052</v>
      </c>
      <c r="G767" s="1">
        <v>4.2133000000000003</v>
      </c>
      <c r="H767" s="1">
        <v>4.2565</v>
      </c>
      <c r="I767" s="1">
        <v>26.9924</v>
      </c>
      <c r="J767" s="1">
        <f t="shared" si="79"/>
        <v>25.8963812</v>
      </c>
      <c r="K767" s="1">
        <v>4.3825399999999775</v>
      </c>
      <c r="L767" s="1">
        <f t="shared" si="80"/>
        <v>14.294071235955057</v>
      </c>
      <c r="M767" s="1">
        <v>-225.77825999999999</v>
      </c>
      <c r="N767" s="1">
        <v>-28.451550000000001</v>
      </c>
    </row>
    <row r="768" spans="1:14" x14ac:dyDescent="0.4">
      <c r="B768" s="1">
        <v>38.75</v>
      </c>
      <c r="C768" s="1" t="s">
        <v>779</v>
      </c>
      <c r="D768" s="3">
        <f t="shared" si="85"/>
        <v>1944.77778175</v>
      </c>
      <c r="E768" s="1">
        <v>17.402100000000001</v>
      </c>
      <c r="F768" s="1">
        <v>5.6936999999999998</v>
      </c>
      <c r="G768" s="1">
        <v>3.8105000000000002</v>
      </c>
      <c r="H768" s="1">
        <v>3.2645</v>
      </c>
      <c r="I768" s="1">
        <v>82.827299999999994</v>
      </c>
      <c r="J768" s="1">
        <f t="shared" si="79"/>
        <v>82.166020199999991</v>
      </c>
      <c r="K768" s="1">
        <v>4.3047200000000032</v>
      </c>
      <c r="L768" s="1">
        <f t="shared" si="80"/>
        <v>-28.758585505617969</v>
      </c>
      <c r="M768" s="1">
        <v>-223.01636999999999</v>
      </c>
      <c r="N768" s="1">
        <v>-27.951000000000001</v>
      </c>
    </row>
    <row r="769" spans="1:14" x14ac:dyDescent="0.4">
      <c r="B769" s="1">
        <v>38.799999999999997</v>
      </c>
      <c r="C769" s="1" t="s">
        <v>780</v>
      </c>
      <c r="D769" s="3">
        <f t="shared" si="85"/>
        <v>1944.7222262</v>
      </c>
      <c r="E769" s="1">
        <v>38.817900000000002</v>
      </c>
      <c r="F769" s="1">
        <v>6.6050000000000004</v>
      </c>
      <c r="G769" s="1">
        <v>2.9594999999999998</v>
      </c>
      <c r="H769" s="1">
        <v>5.1139000000000001</v>
      </c>
      <c r="I769" s="1">
        <v>26.203800000000001</v>
      </c>
      <c r="J769" s="1">
        <f t="shared" si="79"/>
        <v>24.7287198</v>
      </c>
      <c r="K769" s="1">
        <v>2.4562699999999893</v>
      </c>
      <c r="L769" s="1">
        <f t="shared" si="80"/>
        <v>24.925360786516855</v>
      </c>
      <c r="M769" s="1">
        <v>-223.55775</v>
      </c>
      <c r="N769" s="1">
        <v>-28.289829999999998</v>
      </c>
    </row>
    <row r="770" spans="1:14" x14ac:dyDescent="0.4">
      <c r="B770" s="1">
        <v>38.85</v>
      </c>
      <c r="C770" s="1" t="s">
        <v>781</v>
      </c>
      <c r="D770" s="3">
        <f t="shared" si="85"/>
        <v>1944.66667065</v>
      </c>
      <c r="E770" s="1">
        <v>35.292099999999998</v>
      </c>
      <c r="F770" s="1">
        <v>23.891200000000001</v>
      </c>
      <c r="G770" s="1">
        <v>4.6249000000000002</v>
      </c>
      <c r="H770" s="1">
        <v>10.590400000000001</v>
      </c>
      <c r="I770" s="1">
        <v>74.068200000000004</v>
      </c>
      <c r="J770" s="1">
        <f t="shared" si="79"/>
        <v>72.72710020000001</v>
      </c>
      <c r="K770" s="1">
        <v>1.8341400000000192</v>
      </c>
      <c r="L770" s="1">
        <f t="shared" si="80"/>
        <v>-5.5658214606741652</v>
      </c>
      <c r="M770" s="1">
        <v>-228.07617999999999</v>
      </c>
      <c r="N770" s="1">
        <v>-28.924630000000001</v>
      </c>
    </row>
    <row r="771" spans="1:14" x14ac:dyDescent="0.4">
      <c r="B771" s="1">
        <v>38.9</v>
      </c>
      <c r="C771" s="1" t="s">
        <v>782</v>
      </c>
      <c r="D771" s="3">
        <f t="shared" si="85"/>
        <v>1944.6111151</v>
      </c>
      <c r="E771" s="1">
        <v>115.804</v>
      </c>
      <c r="F771" s="1">
        <v>8.4688999999999997</v>
      </c>
      <c r="G771" s="1">
        <v>5.6485000000000003</v>
      </c>
      <c r="H771" s="1">
        <v>10.855499999999999</v>
      </c>
      <c r="I771" s="1">
        <v>37.434399999999997</v>
      </c>
      <c r="J771" s="1">
        <f t="shared" ref="J771:J834" si="86">I771-0.038*E771</f>
        <v>33.033847999999999</v>
      </c>
      <c r="K771" s="1">
        <v>0.5916300000000092</v>
      </c>
      <c r="L771" s="1">
        <f t="shared" ref="L771:L834" si="87">E771-(J771/1.78)</f>
        <v>97.245658426966287</v>
      </c>
      <c r="M771" s="1">
        <v>-231.94379000000001</v>
      </c>
      <c r="N771" s="1">
        <v>-29.562460000000002</v>
      </c>
    </row>
    <row r="772" spans="1:14" x14ac:dyDescent="0.4">
      <c r="B772" s="1">
        <v>38.950000000000003</v>
      </c>
      <c r="C772" s="1" t="s">
        <v>783</v>
      </c>
      <c r="D772" s="3">
        <f t="shared" si="85"/>
        <v>1944.55555955</v>
      </c>
      <c r="E772" s="1">
        <v>45.409700000000001</v>
      </c>
      <c r="F772" s="1">
        <v>25.712299999999999</v>
      </c>
      <c r="G772" s="1">
        <v>4.0345000000000004</v>
      </c>
      <c r="H772" s="1">
        <v>9.5533999999999999</v>
      </c>
      <c r="I772" s="1">
        <v>110.2692</v>
      </c>
      <c r="J772" s="1">
        <f t="shared" si="86"/>
        <v>108.5436314</v>
      </c>
      <c r="K772" s="1">
        <v>2.7608899999999892</v>
      </c>
      <c r="L772" s="1">
        <f t="shared" si="87"/>
        <v>-15.569868202247186</v>
      </c>
      <c r="M772" s="1">
        <v>-237.91956999999999</v>
      </c>
      <c r="N772" s="1">
        <v>-30.075859999999999</v>
      </c>
    </row>
    <row r="773" spans="1:14" x14ac:dyDescent="0.4">
      <c r="B773" s="1">
        <v>39</v>
      </c>
      <c r="C773" s="1" t="s">
        <v>784</v>
      </c>
      <c r="D773" s="3">
        <f t="shared" si="85"/>
        <v>1944.500004</v>
      </c>
      <c r="E773" s="1">
        <v>65.701400000000007</v>
      </c>
      <c r="F773" s="1">
        <v>23.736999999999998</v>
      </c>
      <c r="G773" s="1">
        <v>5.2012</v>
      </c>
      <c r="H773" s="1">
        <v>8.6132000000000009</v>
      </c>
      <c r="I773" s="1">
        <v>27.458200000000001</v>
      </c>
      <c r="J773" s="1">
        <f t="shared" si="86"/>
        <v>24.961546800000001</v>
      </c>
      <c r="K773" s="1">
        <v>3.3208600000000104</v>
      </c>
      <c r="L773" s="1">
        <f t="shared" si="87"/>
        <v>51.678059101123601</v>
      </c>
      <c r="M773" s="1">
        <v>-240.01381000000001</v>
      </c>
      <c r="N773" s="1">
        <v>-30.375689999999999</v>
      </c>
    </row>
    <row r="774" spans="1:14" x14ac:dyDescent="0.4">
      <c r="B774" s="1">
        <v>39.049999999999997</v>
      </c>
      <c r="C774" s="1" t="s">
        <v>785</v>
      </c>
      <c r="D774" s="3">
        <f t="shared" si="85"/>
        <v>1944.44444845</v>
      </c>
      <c r="E774" s="1">
        <v>23.9102</v>
      </c>
      <c r="F774" s="1">
        <v>64.292199999999994</v>
      </c>
      <c r="G774" s="1">
        <v>2.9702999999999999</v>
      </c>
      <c r="H774" s="1">
        <v>9.2148000000000003</v>
      </c>
      <c r="I774" s="1">
        <v>71.673599999999993</v>
      </c>
      <c r="J774" s="1">
        <f t="shared" si="86"/>
        <v>70.765012399999989</v>
      </c>
      <c r="K774" s="1">
        <v>4.5558900000000051</v>
      </c>
      <c r="L774" s="1">
        <f t="shared" si="87"/>
        <v>-15.845424943820216</v>
      </c>
      <c r="M774" s="1">
        <v>-240.05598000000001</v>
      </c>
      <c r="N774" s="1">
        <v>-30.355789999999999</v>
      </c>
    </row>
    <row r="775" spans="1:14" x14ac:dyDescent="0.4">
      <c r="B775" s="1">
        <v>39.1</v>
      </c>
      <c r="C775" s="1" t="s">
        <v>786</v>
      </c>
      <c r="D775" s="3">
        <f t="shared" si="85"/>
        <v>1944.3888929</v>
      </c>
      <c r="E775" s="1">
        <v>149.0103</v>
      </c>
      <c r="F775" s="1">
        <v>32.4238</v>
      </c>
      <c r="G775" s="1">
        <v>9.9373000000000005</v>
      </c>
      <c r="H775" s="1">
        <v>17.2273</v>
      </c>
      <c r="I775" s="1">
        <v>40.698900000000002</v>
      </c>
      <c r="J775" s="1">
        <f t="shared" si="86"/>
        <v>35.036508600000005</v>
      </c>
      <c r="K775" s="1">
        <v>2.6873099999999965</v>
      </c>
      <c r="L775" s="1">
        <f t="shared" si="87"/>
        <v>129.3268682022472</v>
      </c>
      <c r="M775" s="1">
        <v>-238.27456000000001</v>
      </c>
      <c r="N775" s="1">
        <v>-30.525130000000001</v>
      </c>
    </row>
    <row r="776" spans="1:14" x14ac:dyDescent="0.4">
      <c r="B776" s="1">
        <v>39.15</v>
      </c>
      <c r="C776" s="1" t="s">
        <v>787</v>
      </c>
      <c r="D776" s="3">
        <f t="shared" si="85"/>
        <v>1944.33333735</v>
      </c>
      <c r="E776" s="1">
        <v>72.614599999999996</v>
      </c>
      <c r="F776" s="1">
        <v>22.235099999999999</v>
      </c>
      <c r="G776" s="1">
        <v>5.9470999999999998</v>
      </c>
      <c r="H776" s="1">
        <v>12.269299999999999</v>
      </c>
      <c r="I776" s="1">
        <v>172.8339</v>
      </c>
      <c r="J776" s="1">
        <f t="shared" si="86"/>
        <v>170.07454519999999</v>
      </c>
      <c r="K776" s="1">
        <v>2.9917099999999834</v>
      </c>
      <c r="L776" s="1">
        <f t="shared" si="87"/>
        <v>-22.93289730337078</v>
      </c>
      <c r="M776" s="1">
        <v>-239.06127000000001</v>
      </c>
      <c r="N776" s="1">
        <v>-30.670339999999999</v>
      </c>
    </row>
    <row r="777" spans="1:14" x14ac:dyDescent="0.4">
      <c r="B777" s="1">
        <v>39.200000000000003</v>
      </c>
      <c r="C777" s="1" t="s">
        <v>788</v>
      </c>
      <c r="D777" s="3">
        <f t="shared" si="85"/>
        <v>1944.2777818</v>
      </c>
      <c r="E777" s="1">
        <v>50.214500000000001</v>
      </c>
      <c r="F777" s="1">
        <v>11.337300000000001</v>
      </c>
      <c r="G777" s="1">
        <v>2.5905999999999998</v>
      </c>
      <c r="H777" s="1">
        <v>8.2932000000000006</v>
      </c>
      <c r="I777" s="1">
        <v>32.369900000000001</v>
      </c>
      <c r="J777" s="1">
        <f t="shared" si="86"/>
        <v>30.461749000000001</v>
      </c>
      <c r="K777" s="1">
        <v>2.7903399999999863</v>
      </c>
      <c r="L777" s="1">
        <f t="shared" si="87"/>
        <v>33.101157865168538</v>
      </c>
      <c r="M777" s="1">
        <v>-256.67455999999999</v>
      </c>
      <c r="N777" s="1">
        <v>-31.987089999999998</v>
      </c>
    </row>
    <row r="778" spans="1:14" x14ac:dyDescent="0.4">
      <c r="B778" s="1">
        <v>39.25</v>
      </c>
      <c r="C778" s="1" t="s">
        <v>789</v>
      </c>
      <c r="D778" s="3">
        <f t="shared" si="85"/>
        <v>1944.2222262499999</v>
      </c>
      <c r="E778" s="1">
        <v>24.493200000000002</v>
      </c>
      <c r="F778" s="1">
        <v>67.9756</v>
      </c>
      <c r="G778" s="1">
        <v>2.3454000000000002</v>
      </c>
      <c r="H778" s="1">
        <v>3.3595999999999999</v>
      </c>
      <c r="I778" s="1">
        <v>118.73009999999999</v>
      </c>
      <c r="J778" s="1">
        <f t="shared" si="86"/>
        <v>117.79935839999999</v>
      </c>
      <c r="K778" s="1">
        <v>5.926479999999998</v>
      </c>
      <c r="L778" s="1">
        <f t="shared" si="87"/>
        <v>-41.68621483146066</v>
      </c>
      <c r="M778" s="1">
        <v>-259.96960999999999</v>
      </c>
      <c r="N778" s="1">
        <v>-32.330919999999999</v>
      </c>
    </row>
    <row r="779" spans="1:14" x14ac:dyDescent="0.4">
      <c r="B779" s="1">
        <v>39.299999999999997</v>
      </c>
      <c r="C779" s="1" t="s">
        <v>790</v>
      </c>
      <c r="D779" s="3">
        <f t="shared" si="85"/>
        <v>1944.1666706999999</v>
      </c>
      <c r="E779" s="1">
        <v>81.471999999999994</v>
      </c>
      <c r="F779" s="1">
        <v>31.471699999999998</v>
      </c>
      <c r="G779" s="1">
        <v>33.171999999999997</v>
      </c>
      <c r="H779" s="1">
        <v>19.5228</v>
      </c>
      <c r="I779" s="1">
        <v>337.20690000000002</v>
      </c>
      <c r="J779" s="1">
        <f t="shared" si="86"/>
        <v>334.11096400000002</v>
      </c>
      <c r="K779" s="1">
        <v>6.3014499999999884</v>
      </c>
      <c r="L779" s="1">
        <f t="shared" si="87"/>
        <v>-106.23078876404496</v>
      </c>
      <c r="M779" s="1">
        <v>-274.74155000000002</v>
      </c>
      <c r="N779" s="1">
        <v>-34.058250000000001</v>
      </c>
    </row>
    <row r="780" spans="1:14" x14ac:dyDescent="0.4">
      <c r="B780" s="1">
        <v>39.35</v>
      </c>
      <c r="C780" s="1" t="s">
        <v>791</v>
      </c>
      <c r="D780" s="3">
        <f t="shared" si="85"/>
        <v>1944.1111151499999</v>
      </c>
      <c r="E780" s="1">
        <v>29.723800000000001</v>
      </c>
      <c r="F780" s="1">
        <v>68.1477</v>
      </c>
      <c r="G780" s="1">
        <v>2.0182000000000002</v>
      </c>
      <c r="H780" s="1">
        <v>4.9696999999999996</v>
      </c>
      <c r="I780" s="1">
        <v>99.534800000000004</v>
      </c>
      <c r="J780" s="1">
        <f t="shared" si="86"/>
        <v>98.405295600000002</v>
      </c>
      <c r="K780" s="1">
        <v>-0.77783999999999764</v>
      </c>
      <c r="L780" s="1">
        <f t="shared" si="87"/>
        <v>-25.56007393258427</v>
      </c>
      <c r="M780" s="1">
        <v>-278.43193000000002</v>
      </c>
      <c r="N780" s="1">
        <v>-34.65034</v>
      </c>
    </row>
    <row r="781" spans="1:14" x14ac:dyDescent="0.4">
      <c r="B781" s="1">
        <v>39.4</v>
      </c>
      <c r="C781" s="1" t="s">
        <v>792</v>
      </c>
      <c r="D781" s="3">
        <f t="shared" si="85"/>
        <v>1944.0555596000002</v>
      </c>
      <c r="E781" s="1">
        <v>43.385800000000003</v>
      </c>
      <c r="F781" s="1">
        <v>19.620899999999999</v>
      </c>
      <c r="G781" s="1">
        <v>5.1058000000000003</v>
      </c>
      <c r="H781" s="1">
        <v>6.3354999999999997</v>
      </c>
      <c r="I781" s="1">
        <v>32.475200000000001</v>
      </c>
      <c r="J781" s="1">
        <f t="shared" si="86"/>
        <v>30.8265396</v>
      </c>
      <c r="K781" s="1">
        <v>-1.3222499999999968</v>
      </c>
      <c r="L781" s="1">
        <f t="shared" si="87"/>
        <v>26.067519325842699</v>
      </c>
      <c r="M781" s="1">
        <v>-277.11196000000001</v>
      </c>
      <c r="N781" s="1">
        <v>-34.278010000000002</v>
      </c>
    </row>
    <row r="782" spans="1:14" x14ac:dyDescent="0.4">
      <c r="A782" s="1">
        <v>1944</v>
      </c>
      <c r="B782" s="1">
        <v>39.450000000000003</v>
      </c>
      <c r="C782" s="1" t="s">
        <v>793</v>
      </c>
      <c r="D782" s="3">
        <f>-1.6666667*B782+2009.75</f>
        <v>1943.999998685</v>
      </c>
      <c r="E782" s="1">
        <v>27.663699999999999</v>
      </c>
      <c r="F782" s="1">
        <v>12.9109</v>
      </c>
      <c r="G782" s="1">
        <v>3.5512000000000001</v>
      </c>
      <c r="H782" s="1">
        <v>4.5948000000000002</v>
      </c>
      <c r="I782" s="1">
        <v>138.87289999999999</v>
      </c>
      <c r="J782" s="1">
        <f t="shared" si="86"/>
        <v>137.82167939999999</v>
      </c>
      <c r="K782" s="1">
        <v>-2.2755500000000097</v>
      </c>
      <c r="L782" s="1">
        <f t="shared" si="87"/>
        <v>-49.764209775280897</v>
      </c>
      <c r="M782" s="1">
        <v>-263.32896</v>
      </c>
      <c r="N782" s="1">
        <v>-32.947409999999998</v>
      </c>
    </row>
    <row r="783" spans="1:14" x14ac:dyDescent="0.4">
      <c r="B783" s="1">
        <v>39.5</v>
      </c>
      <c r="C783" s="1" t="s">
        <v>794</v>
      </c>
      <c r="D783" s="3">
        <f t="shared" ref="D783:D793" si="88">-1.6666667*B783+2009.75</f>
        <v>1943.9166653499999</v>
      </c>
      <c r="E783" s="1">
        <v>25.824999999999999</v>
      </c>
      <c r="F783" s="1">
        <v>6.1069000000000004</v>
      </c>
      <c r="G783" s="1">
        <v>3.3086000000000002</v>
      </c>
      <c r="H783" s="1">
        <v>3.919</v>
      </c>
      <c r="I783" s="1">
        <v>33.159799999999997</v>
      </c>
      <c r="J783" s="1">
        <f t="shared" si="86"/>
        <v>32.178449999999998</v>
      </c>
      <c r="K783" s="1">
        <v>-1.2292100000000232</v>
      </c>
      <c r="L783" s="1">
        <f t="shared" si="87"/>
        <v>7.7472191011235978</v>
      </c>
      <c r="M783" s="1">
        <v>-258.95600000000002</v>
      </c>
      <c r="N783" s="1">
        <v>-32.516030000000001</v>
      </c>
    </row>
    <row r="784" spans="1:14" x14ac:dyDescent="0.4">
      <c r="B784" s="1">
        <v>39.549999999999997</v>
      </c>
      <c r="C784" s="1" t="s">
        <v>795</v>
      </c>
      <c r="D784" s="3">
        <f t="shared" si="88"/>
        <v>1943.833332015</v>
      </c>
      <c r="E784" s="1">
        <v>18.5883</v>
      </c>
      <c r="F784" s="1">
        <v>33.875999999999998</v>
      </c>
      <c r="G784" s="1">
        <v>3.7648000000000001</v>
      </c>
      <c r="H784" s="1">
        <v>6.5731000000000002</v>
      </c>
      <c r="I784" s="1">
        <v>57.66</v>
      </c>
      <c r="J784" s="1">
        <f t="shared" si="86"/>
        <v>56.953644599999997</v>
      </c>
      <c r="K784" s="1">
        <v>-2.8878799999999956</v>
      </c>
      <c r="L784" s="1">
        <f t="shared" si="87"/>
        <v>-13.408129550561796</v>
      </c>
      <c r="M784" s="1">
        <v>-247.59800000000001</v>
      </c>
      <c r="N784" s="1">
        <v>-31.212</v>
      </c>
    </row>
    <row r="785" spans="1:14" x14ac:dyDescent="0.4">
      <c r="B785" s="1">
        <v>39.6</v>
      </c>
      <c r="C785" s="1" t="s">
        <v>796</v>
      </c>
      <c r="D785" s="3">
        <f t="shared" si="88"/>
        <v>1943.7499986800001</v>
      </c>
      <c r="E785" s="1">
        <v>49.413699999999999</v>
      </c>
      <c r="F785" s="1">
        <v>23.123799999999999</v>
      </c>
      <c r="G785" s="1">
        <v>8.8277000000000001</v>
      </c>
      <c r="H785" s="1">
        <v>8.9772999999999996</v>
      </c>
      <c r="I785" s="1">
        <v>40.103999999999999</v>
      </c>
      <c r="J785" s="1">
        <f t="shared" si="86"/>
        <v>38.226279399999996</v>
      </c>
      <c r="K785" s="1">
        <v>0.25031999999998789</v>
      </c>
      <c r="L785" s="1">
        <f t="shared" si="87"/>
        <v>27.938262134831461</v>
      </c>
      <c r="M785" s="1">
        <v>-239.40437</v>
      </c>
      <c r="N785" s="1">
        <v>-30.046559999999999</v>
      </c>
    </row>
    <row r="786" spans="1:14" x14ac:dyDescent="0.4">
      <c r="B786" s="1">
        <v>39.65</v>
      </c>
      <c r="C786" s="1" t="s">
        <v>797</v>
      </c>
      <c r="D786" s="3">
        <f t="shared" si="88"/>
        <v>1943.666665345</v>
      </c>
      <c r="E786" s="1">
        <v>56.1494</v>
      </c>
      <c r="F786" s="1">
        <v>47.087699999999998</v>
      </c>
      <c r="G786" s="1">
        <v>3.4076</v>
      </c>
      <c r="H786" s="1">
        <v>14.6432</v>
      </c>
      <c r="I786" s="1">
        <v>94.962800000000001</v>
      </c>
      <c r="J786" s="1">
        <f t="shared" si="86"/>
        <v>92.829122800000007</v>
      </c>
      <c r="K786" s="1">
        <v>1.172239999999988</v>
      </c>
      <c r="L786" s="1">
        <f t="shared" si="87"/>
        <v>3.9982074157303344</v>
      </c>
      <c r="M786" s="1">
        <v>-235.15156999999999</v>
      </c>
      <c r="N786" s="1">
        <v>-29.531289999999998</v>
      </c>
    </row>
    <row r="787" spans="1:14" x14ac:dyDescent="0.4">
      <c r="B787" s="1">
        <v>39.700000000000003</v>
      </c>
      <c r="C787" s="1" t="s">
        <v>798</v>
      </c>
      <c r="D787" s="3">
        <f t="shared" si="88"/>
        <v>1943.58333201</v>
      </c>
      <c r="E787" s="1">
        <v>62.307499999999997</v>
      </c>
      <c r="F787" s="1">
        <v>10.28</v>
      </c>
      <c r="G787" s="1">
        <v>3.8149000000000002</v>
      </c>
      <c r="H787" s="1">
        <v>6.2592999999999996</v>
      </c>
      <c r="I787" s="1">
        <v>28.9819</v>
      </c>
      <c r="J787" s="1">
        <f t="shared" si="86"/>
        <v>26.614215000000002</v>
      </c>
      <c r="K787" s="1">
        <v>2.0979999999999848</v>
      </c>
      <c r="L787" s="1">
        <f t="shared" si="87"/>
        <v>47.355693820224715</v>
      </c>
      <c r="M787" s="1">
        <v>-241.23011</v>
      </c>
      <c r="N787" s="1">
        <v>-30.11795</v>
      </c>
    </row>
    <row r="788" spans="1:14" x14ac:dyDescent="0.4">
      <c r="B788" s="1">
        <v>39.75</v>
      </c>
      <c r="C788" s="1" t="s">
        <v>799</v>
      </c>
      <c r="D788" s="3">
        <f t="shared" si="88"/>
        <v>1943.4999986749999</v>
      </c>
      <c r="E788" s="1">
        <v>14.9816</v>
      </c>
      <c r="F788" s="1">
        <v>25.1843</v>
      </c>
      <c r="G788" s="1">
        <v>1.6789000000000001</v>
      </c>
      <c r="H788" s="1">
        <v>2.6665999999999999</v>
      </c>
      <c r="I788" s="1">
        <v>100.02509999999999</v>
      </c>
      <c r="J788" s="1">
        <f t="shared" si="86"/>
        <v>99.455799200000001</v>
      </c>
      <c r="K788" s="1">
        <v>0.96810999999999581</v>
      </c>
      <c r="L788" s="1">
        <f t="shared" si="87"/>
        <v>-40.892444494382019</v>
      </c>
      <c r="M788" s="1">
        <v>-247.80891</v>
      </c>
      <c r="N788" s="1">
        <v>-31.03642</v>
      </c>
    </row>
    <row r="789" spans="1:14" x14ac:dyDescent="0.4">
      <c r="B789" s="1">
        <v>39.799999999999997</v>
      </c>
      <c r="C789" s="1" t="s">
        <v>800</v>
      </c>
      <c r="D789" s="3">
        <f t="shared" si="88"/>
        <v>1943.41666534</v>
      </c>
      <c r="E789" s="1">
        <v>33.853499999999997</v>
      </c>
      <c r="F789" s="1">
        <v>5.2713000000000001</v>
      </c>
      <c r="G789" s="1">
        <v>2.6053999999999999</v>
      </c>
      <c r="H789" s="1">
        <v>4.3231000000000002</v>
      </c>
      <c r="I789" s="1">
        <v>17.7652</v>
      </c>
      <c r="J789" s="1">
        <f t="shared" si="86"/>
        <v>16.478767000000001</v>
      </c>
      <c r="K789" s="1">
        <v>1.0987499999999999</v>
      </c>
      <c r="L789" s="1">
        <f t="shared" si="87"/>
        <v>24.595765730337074</v>
      </c>
      <c r="M789" s="1">
        <v>-258.38441</v>
      </c>
      <c r="N789" s="1">
        <v>-32.20384</v>
      </c>
    </row>
    <row r="790" spans="1:14" x14ac:dyDescent="0.4">
      <c r="B790" s="1">
        <v>39.85</v>
      </c>
      <c r="C790" s="1" t="s">
        <v>801</v>
      </c>
      <c r="D790" s="3">
        <f t="shared" si="88"/>
        <v>1943.3333320050001</v>
      </c>
      <c r="E790" s="1">
        <v>9.3661999999999992</v>
      </c>
      <c r="F790" s="1">
        <v>12.2775</v>
      </c>
      <c r="G790" s="1">
        <v>2.9285999999999999</v>
      </c>
      <c r="H790" s="1">
        <v>3.6198999999999999</v>
      </c>
      <c r="I790" s="1">
        <v>44.041200000000003</v>
      </c>
      <c r="J790" s="1">
        <f t="shared" si="86"/>
        <v>43.6852844</v>
      </c>
      <c r="K790" s="1">
        <v>-0.28650999999999271</v>
      </c>
      <c r="L790" s="1">
        <f t="shared" si="87"/>
        <v>-15.176094606741575</v>
      </c>
      <c r="M790" s="1">
        <v>-266.49617000000001</v>
      </c>
      <c r="N790" s="1">
        <v>-33.155549999999998</v>
      </c>
    </row>
    <row r="791" spans="1:14" x14ac:dyDescent="0.4">
      <c r="B791" s="1">
        <v>39.9</v>
      </c>
      <c r="C791" s="1" t="s">
        <v>802</v>
      </c>
      <c r="D791" s="3">
        <f t="shared" si="88"/>
        <v>1943.24999867</v>
      </c>
      <c r="E791" s="1">
        <v>51.959800000000001</v>
      </c>
      <c r="F791" s="1">
        <v>11.978400000000001</v>
      </c>
      <c r="G791" s="1">
        <v>1.6718999999999999</v>
      </c>
      <c r="H791" s="1">
        <v>6.4512</v>
      </c>
      <c r="I791" s="1">
        <v>13.393800000000001</v>
      </c>
      <c r="J791" s="1">
        <f t="shared" si="86"/>
        <v>11.419327600000001</v>
      </c>
      <c r="K791" s="1">
        <v>0.48245000000000005</v>
      </c>
      <c r="L791" s="1">
        <f t="shared" si="87"/>
        <v>45.544447415730339</v>
      </c>
      <c r="M791" s="1">
        <v>-263.69245999999998</v>
      </c>
      <c r="N791" s="1">
        <v>-32.803609999999999</v>
      </c>
    </row>
    <row r="792" spans="1:14" x14ac:dyDescent="0.4">
      <c r="B792" s="1">
        <v>39.950000000000003</v>
      </c>
      <c r="C792" s="1" t="s">
        <v>803</v>
      </c>
      <c r="D792" s="3">
        <f t="shared" si="88"/>
        <v>1943.1666653350001</v>
      </c>
      <c r="E792" s="1">
        <v>31.915299999999998</v>
      </c>
      <c r="F792" s="1">
        <v>27.0274</v>
      </c>
      <c r="G792" s="1">
        <v>2.5171999999999999</v>
      </c>
      <c r="H792" s="1">
        <v>10.696300000000001</v>
      </c>
      <c r="I792" s="1">
        <v>26.445499999999999</v>
      </c>
      <c r="J792" s="1">
        <f t="shared" si="86"/>
        <v>25.232718599999998</v>
      </c>
      <c r="K792" s="1">
        <v>-0.75369000000000597</v>
      </c>
      <c r="L792" s="1">
        <f t="shared" si="87"/>
        <v>17.739615393258426</v>
      </c>
      <c r="M792" s="1">
        <v>-262.40037000000001</v>
      </c>
      <c r="N792" s="1">
        <v>-32.690809999999999</v>
      </c>
    </row>
    <row r="793" spans="1:14" x14ac:dyDescent="0.4">
      <c r="B793" s="1">
        <v>40</v>
      </c>
      <c r="C793" s="1" t="s">
        <v>804</v>
      </c>
      <c r="D793" s="3">
        <f t="shared" si="88"/>
        <v>1943.0833319999999</v>
      </c>
      <c r="E793" s="1">
        <v>70.339299999999994</v>
      </c>
      <c r="F793" s="1">
        <v>1.4926999999999999</v>
      </c>
      <c r="G793" s="1">
        <v>6.6688000000000001</v>
      </c>
      <c r="H793" s="1">
        <v>9.9332999999999991</v>
      </c>
      <c r="I793" s="1">
        <v>29.115100000000002</v>
      </c>
      <c r="J793" s="1">
        <f t="shared" si="86"/>
        <v>26.442206600000002</v>
      </c>
      <c r="K793" s="1">
        <v>-1.2517700000000218</v>
      </c>
      <c r="L793" s="1">
        <f t="shared" si="87"/>
        <v>55.48412775280898</v>
      </c>
      <c r="M793" s="1">
        <v>-249.6413</v>
      </c>
      <c r="N793" s="1">
        <v>-31.116</v>
      </c>
    </row>
    <row r="794" spans="1:14" x14ac:dyDescent="0.4">
      <c r="A794" s="1">
        <v>1943</v>
      </c>
      <c r="B794" s="1">
        <v>40.049999999999997</v>
      </c>
      <c r="C794" s="1" t="s">
        <v>805</v>
      </c>
      <c r="D794" s="3">
        <f>-2.22222*B794+2032</f>
        <v>1943.0000890000001</v>
      </c>
      <c r="E794" s="1">
        <v>22.752400000000002</v>
      </c>
      <c r="F794" s="1">
        <v>38.326900000000002</v>
      </c>
      <c r="G794" s="1">
        <v>1.7950999999999999</v>
      </c>
      <c r="H794" s="1">
        <v>13.097099999999999</v>
      </c>
      <c r="I794" s="1">
        <v>36.440399999999997</v>
      </c>
      <c r="J794" s="1">
        <f t="shared" si="86"/>
        <v>35.575808799999997</v>
      </c>
      <c r="K794" s="1">
        <v>-1.2635799999999904</v>
      </c>
      <c r="L794" s="1">
        <f t="shared" si="87"/>
        <v>2.7659905617977572</v>
      </c>
      <c r="M794" s="1">
        <v>-245.36177000000001</v>
      </c>
      <c r="N794" s="1">
        <v>-30.923870000000001</v>
      </c>
    </row>
    <row r="795" spans="1:14" x14ac:dyDescent="0.4">
      <c r="B795" s="1">
        <v>40.1</v>
      </c>
      <c r="C795" s="1" t="s">
        <v>806</v>
      </c>
      <c r="D795" s="3">
        <f t="shared" ref="D795:D802" si="89">-2.22222*B795+2032</f>
        <v>1942.888978</v>
      </c>
      <c r="E795" s="1">
        <v>21.664200000000001</v>
      </c>
      <c r="F795" s="1">
        <v>9.0076000000000001</v>
      </c>
      <c r="G795" s="1">
        <v>7.0483000000000002</v>
      </c>
      <c r="H795" s="1">
        <v>3.5931000000000002</v>
      </c>
      <c r="I795" s="1">
        <v>36.779000000000003</v>
      </c>
      <c r="J795" s="1">
        <f t="shared" si="86"/>
        <v>35.955760400000003</v>
      </c>
      <c r="K795" s="1">
        <v>-0.87389000000001715</v>
      </c>
      <c r="L795" s="1">
        <f t="shared" si="87"/>
        <v>1.4643346067415735</v>
      </c>
      <c r="M795" s="1">
        <v>-244.98786999999999</v>
      </c>
      <c r="N795" s="1">
        <v>-30.530290000000001</v>
      </c>
    </row>
    <row r="796" spans="1:14" x14ac:dyDescent="0.4">
      <c r="B796" s="1">
        <v>40.15</v>
      </c>
      <c r="C796" s="1" t="s">
        <v>807</v>
      </c>
      <c r="D796" s="3">
        <f t="shared" si="89"/>
        <v>1942.777867</v>
      </c>
      <c r="E796" s="1">
        <v>54.667200000000001</v>
      </c>
      <c r="F796" s="1">
        <v>27.853999999999999</v>
      </c>
      <c r="G796" s="1">
        <v>4.1456999999999997</v>
      </c>
      <c r="H796" s="1">
        <v>15.2354</v>
      </c>
      <c r="I796" s="1">
        <v>69.802000000000007</v>
      </c>
      <c r="J796" s="1">
        <f t="shared" si="86"/>
        <v>67.724646400000012</v>
      </c>
      <c r="K796" s="1">
        <v>-0.71330000000000382</v>
      </c>
      <c r="L796" s="1">
        <f t="shared" si="87"/>
        <v>16.619645842696627</v>
      </c>
      <c r="M796" s="1">
        <v>-246.23590999999999</v>
      </c>
      <c r="N796" s="1">
        <v>-30.67577</v>
      </c>
    </row>
    <row r="797" spans="1:14" x14ac:dyDescent="0.4">
      <c r="B797" s="1">
        <v>40.200000000000003</v>
      </c>
      <c r="C797" s="1" t="s">
        <v>808</v>
      </c>
      <c r="D797" s="3">
        <f t="shared" si="89"/>
        <v>1942.6667560000001</v>
      </c>
      <c r="E797" s="1">
        <v>64.919399999999996</v>
      </c>
      <c r="F797" s="1">
        <v>1.1825000000000001</v>
      </c>
      <c r="G797" s="1">
        <v>5.4446000000000003</v>
      </c>
      <c r="H797" s="1">
        <v>8.5288000000000004</v>
      </c>
      <c r="I797" s="1">
        <v>19.1782</v>
      </c>
      <c r="J797" s="1">
        <f t="shared" si="86"/>
        <v>16.7112628</v>
      </c>
      <c r="K797" s="1">
        <v>2.0291899999999998</v>
      </c>
      <c r="L797" s="1">
        <f t="shared" si="87"/>
        <v>55.531050112359544</v>
      </c>
      <c r="M797" s="1">
        <v>-246.69968</v>
      </c>
      <c r="N797" s="1">
        <v>-30.752300000000002</v>
      </c>
    </row>
    <row r="798" spans="1:14" x14ac:dyDescent="0.4">
      <c r="B798" s="1">
        <v>40.25</v>
      </c>
      <c r="C798" s="1" t="s">
        <v>809</v>
      </c>
      <c r="D798" s="3">
        <f t="shared" si="89"/>
        <v>1942.5556449999999</v>
      </c>
      <c r="E798" s="1">
        <v>66.718999999999994</v>
      </c>
      <c r="F798" s="1">
        <v>42.076599999999999</v>
      </c>
      <c r="G798" s="1">
        <v>6.0023</v>
      </c>
      <c r="H798" s="1">
        <v>11.411099999999999</v>
      </c>
      <c r="I798" s="1">
        <v>66.959299999999999</v>
      </c>
      <c r="J798" s="1">
        <f t="shared" si="86"/>
        <v>64.423978000000005</v>
      </c>
      <c r="K798" s="1">
        <v>-0.74554999999998017</v>
      </c>
      <c r="L798" s="1">
        <f t="shared" si="87"/>
        <v>30.525753932584259</v>
      </c>
      <c r="M798" s="1">
        <v>-242.53261000000001</v>
      </c>
      <c r="N798" s="1">
        <v>-30.345179999999999</v>
      </c>
    </row>
    <row r="799" spans="1:14" x14ac:dyDescent="0.4">
      <c r="B799" s="1">
        <v>40.299999999999997</v>
      </c>
      <c r="C799" s="1" t="s">
        <v>810</v>
      </c>
      <c r="D799" s="3">
        <f t="shared" si="89"/>
        <v>1942.444534</v>
      </c>
      <c r="E799" s="1">
        <v>54.117600000000003</v>
      </c>
      <c r="F799" s="1">
        <v>3.2042999999999999</v>
      </c>
      <c r="G799" s="1">
        <v>7.5503</v>
      </c>
      <c r="H799" s="1">
        <v>7.8202999999999996</v>
      </c>
      <c r="I799" s="1">
        <v>18.3995</v>
      </c>
      <c r="J799" s="1">
        <f t="shared" si="86"/>
        <v>16.343031199999999</v>
      </c>
      <c r="K799" s="1">
        <v>-0.82974999999999</v>
      </c>
      <c r="L799" s="1">
        <f t="shared" si="87"/>
        <v>44.936121797752811</v>
      </c>
      <c r="M799" s="1">
        <v>-246.73281</v>
      </c>
      <c r="N799" s="1">
        <v>-30.754280000000001</v>
      </c>
    </row>
    <row r="800" spans="1:14" x14ac:dyDescent="0.4">
      <c r="B800" s="1">
        <v>40.35</v>
      </c>
      <c r="C800" s="1" t="s">
        <v>811</v>
      </c>
      <c r="D800" s="3">
        <f t="shared" si="89"/>
        <v>1942.333423</v>
      </c>
      <c r="E800" s="1">
        <v>17.946899999999999</v>
      </c>
      <c r="F800" s="1">
        <v>35.392099999999999</v>
      </c>
      <c r="G800" s="1">
        <v>1.8663000000000001</v>
      </c>
      <c r="H800" s="1">
        <v>3.3595999999999999</v>
      </c>
      <c r="I800" s="1">
        <v>67.385800000000003</v>
      </c>
      <c r="J800" s="1">
        <f t="shared" si="86"/>
        <v>66.70381780000001</v>
      </c>
      <c r="K800" s="1">
        <v>-0.68127999999998679</v>
      </c>
      <c r="L800" s="1">
        <f t="shared" si="87"/>
        <v>-19.527154943820229</v>
      </c>
      <c r="M800" s="1">
        <v>-253.34003000000001</v>
      </c>
      <c r="N800" s="1">
        <v>-31.513210000000001</v>
      </c>
    </row>
    <row r="801" spans="1:14" x14ac:dyDescent="0.4">
      <c r="B801" s="1">
        <v>40.4</v>
      </c>
      <c r="C801" s="1" t="s">
        <v>812</v>
      </c>
      <c r="D801" s="3">
        <f t="shared" si="89"/>
        <v>1942.2223120000001</v>
      </c>
      <c r="E801" s="1">
        <v>174.34209999999999</v>
      </c>
      <c r="F801" s="1">
        <v>17.1082</v>
      </c>
      <c r="G801" s="1">
        <v>96.655299999999997</v>
      </c>
      <c r="H801" s="1">
        <v>18.674399999999999</v>
      </c>
      <c r="I801" s="1">
        <v>65.999300000000005</v>
      </c>
      <c r="J801" s="1">
        <f t="shared" si="86"/>
        <v>59.374300200000008</v>
      </c>
      <c r="K801" s="1">
        <v>0.22882999999998788</v>
      </c>
      <c r="L801" s="1">
        <f t="shared" si="87"/>
        <v>140.9857515730337</v>
      </c>
      <c r="M801" s="1">
        <v>-253.65028000000001</v>
      </c>
      <c r="N801" s="1">
        <v>-31.36534</v>
      </c>
    </row>
    <row r="802" spans="1:14" x14ac:dyDescent="0.4">
      <c r="B802" s="1">
        <v>40.450000000000003</v>
      </c>
      <c r="C802" s="1" t="s">
        <v>813</v>
      </c>
      <c r="D802" s="3">
        <f t="shared" si="89"/>
        <v>1942.1112009999999</v>
      </c>
      <c r="E802" s="1">
        <v>38.590899999999998</v>
      </c>
      <c r="F802" s="1">
        <v>36.087899999999998</v>
      </c>
      <c r="G802" s="1">
        <v>4.3756000000000004</v>
      </c>
      <c r="H802" s="1">
        <v>9.1159999999999997</v>
      </c>
      <c r="I802" s="1">
        <v>102.9252</v>
      </c>
      <c r="J802" s="1">
        <f t="shared" si="86"/>
        <v>101.4587458</v>
      </c>
      <c r="K802" s="1">
        <v>-0.69856999999998948</v>
      </c>
      <c r="L802" s="1">
        <f t="shared" si="87"/>
        <v>-18.408395393258431</v>
      </c>
      <c r="M802" s="1">
        <v>-249.88188</v>
      </c>
      <c r="N802" s="1">
        <v>-30.999700000000001</v>
      </c>
    </row>
    <row r="803" spans="1:14" x14ac:dyDescent="0.4">
      <c r="A803" s="1">
        <v>1942</v>
      </c>
      <c r="B803" s="1">
        <v>40.5</v>
      </c>
      <c r="C803" s="1" t="s">
        <v>814</v>
      </c>
      <c r="D803" s="3">
        <f>-1.818182*B803+2015.636364</f>
        <v>1941.9999929999999</v>
      </c>
      <c r="E803" s="1">
        <v>22.289400000000001</v>
      </c>
      <c r="F803" s="1">
        <v>8.8579000000000008</v>
      </c>
      <c r="G803" s="1">
        <v>3.2208999999999999</v>
      </c>
      <c r="H803" s="1">
        <v>3.5760999999999998</v>
      </c>
      <c r="I803" s="1">
        <v>23.161000000000001</v>
      </c>
      <c r="J803" s="1">
        <f t="shared" si="86"/>
        <v>22.314002800000001</v>
      </c>
      <c r="K803" s="1">
        <v>-1.2343500000000063</v>
      </c>
      <c r="L803" s="1">
        <f t="shared" si="87"/>
        <v>9.7534433707865169</v>
      </c>
      <c r="M803" s="1">
        <v>-244.39865</v>
      </c>
      <c r="N803" s="1">
        <v>-30.469100000000001</v>
      </c>
    </row>
    <row r="804" spans="1:14" x14ac:dyDescent="0.4">
      <c r="B804" s="1">
        <v>40.549999999999997</v>
      </c>
      <c r="C804" s="6" t="s">
        <v>815</v>
      </c>
      <c r="D804" s="3">
        <f t="shared" ref="D804:D813" si="90">-1.818182*B804+2015.636364</f>
        <v>1941.9090839</v>
      </c>
      <c r="E804" s="6">
        <v>12.385199999999999</v>
      </c>
      <c r="F804" s="6">
        <v>25.1722</v>
      </c>
      <c r="G804" s="6">
        <v>3.5034000000000001</v>
      </c>
      <c r="H804" s="6">
        <v>5.5675999999999997</v>
      </c>
      <c r="I804" s="6">
        <v>46.809800000000003</v>
      </c>
      <c r="J804" s="1">
        <f t="shared" si="86"/>
        <v>46.339162399999999</v>
      </c>
      <c r="K804" s="1">
        <v>-2.7275600000000111</v>
      </c>
      <c r="L804" s="1">
        <f t="shared" si="87"/>
        <v>-13.648037303370787</v>
      </c>
      <c r="M804" s="1">
        <v>-234.76811000000001</v>
      </c>
      <c r="N804" s="1">
        <v>-29.434699999999999</v>
      </c>
    </row>
    <row r="805" spans="1:14" x14ac:dyDescent="0.4">
      <c r="B805" s="1">
        <v>40.6</v>
      </c>
      <c r="C805" s="1" t="s">
        <v>816</v>
      </c>
      <c r="D805" s="3">
        <f t="shared" si="90"/>
        <v>1941.8181748</v>
      </c>
      <c r="E805" s="1">
        <v>27.0107</v>
      </c>
      <c r="F805" s="1">
        <v>18.034099999999999</v>
      </c>
      <c r="G805" s="1">
        <v>3.7736999999999998</v>
      </c>
      <c r="H805" s="1">
        <v>5.3354999999999997</v>
      </c>
      <c r="I805" s="1">
        <v>32.143700000000003</v>
      </c>
      <c r="J805" s="1">
        <f t="shared" si="86"/>
        <v>31.117293400000001</v>
      </c>
      <c r="K805" s="1">
        <v>-1.8842799999999897</v>
      </c>
      <c r="L805" s="1">
        <f t="shared" si="87"/>
        <v>9.5290744943820229</v>
      </c>
      <c r="M805" s="1">
        <v>-229.83085</v>
      </c>
      <c r="N805" s="1">
        <v>-28.884899999999998</v>
      </c>
    </row>
    <row r="806" spans="1:14" x14ac:dyDescent="0.4">
      <c r="B806" s="1">
        <v>40.65</v>
      </c>
      <c r="C806" s="1" t="s">
        <v>817</v>
      </c>
      <c r="D806" s="3">
        <f t="shared" si="90"/>
        <v>1941.7272656999999</v>
      </c>
      <c r="E806" s="1">
        <v>79.494699999999995</v>
      </c>
      <c r="F806" s="1">
        <v>26.375800000000002</v>
      </c>
      <c r="G806" s="1">
        <v>6.2983000000000002</v>
      </c>
      <c r="H806" s="1">
        <v>18.834299999999999</v>
      </c>
      <c r="I806" s="1">
        <v>120.1002</v>
      </c>
      <c r="J806" s="1">
        <f t="shared" si="86"/>
        <v>117.07940139999999</v>
      </c>
      <c r="K806" s="1">
        <v>-0.64584999999999582</v>
      </c>
      <c r="L806" s="1">
        <f t="shared" si="87"/>
        <v>13.719755393258424</v>
      </c>
      <c r="M806" s="1">
        <v>-222.66247999999999</v>
      </c>
      <c r="N806" s="1">
        <v>-28.09019</v>
      </c>
    </row>
    <row r="807" spans="1:14" x14ac:dyDescent="0.4">
      <c r="B807" s="1">
        <v>40.700000000000003</v>
      </c>
      <c r="C807" s="1" t="s">
        <v>818</v>
      </c>
      <c r="D807" s="3">
        <f t="shared" si="90"/>
        <v>1941.6363566</v>
      </c>
      <c r="E807" s="1">
        <v>69.872600000000006</v>
      </c>
      <c r="F807" s="1">
        <v>19.776299999999999</v>
      </c>
      <c r="G807" s="1">
        <v>4.1219000000000001</v>
      </c>
      <c r="H807" s="1">
        <v>9.4046000000000003</v>
      </c>
      <c r="I807" s="1">
        <v>24.790099999999999</v>
      </c>
      <c r="J807" s="1">
        <f t="shared" si="86"/>
        <v>22.1349412</v>
      </c>
      <c r="K807" s="1">
        <v>0.70948999999998819</v>
      </c>
      <c r="L807" s="1">
        <f t="shared" si="87"/>
        <v>57.437239775280901</v>
      </c>
      <c r="M807" s="1">
        <v>-223.82979</v>
      </c>
      <c r="N807" s="1">
        <v>-27.97457</v>
      </c>
    </row>
    <row r="808" spans="1:14" x14ac:dyDescent="0.4">
      <c r="B808" s="1">
        <v>40.75</v>
      </c>
      <c r="C808" s="1" t="s">
        <v>819</v>
      </c>
      <c r="D808" s="3">
        <f t="shared" si="90"/>
        <v>1941.5454474999999</v>
      </c>
      <c r="E808" s="1">
        <v>76.797499999999999</v>
      </c>
      <c r="F808" s="1">
        <v>14.9803</v>
      </c>
      <c r="G808" s="1">
        <v>4.7163000000000004</v>
      </c>
      <c r="H808" s="1">
        <v>36.462899999999998</v>
      </c>
      <c r="I808" s="1">
        <v>59.210299999999997</v>
      </c>
      <c r="J808" s="1">
        <f t="shared" si="86"/>
        <v>56.291995</v>
      </c>
      <c r="K808" s="1">
        <v>1.2483499999999879</v>
      </c>
      <c r="L808" s="1">
        <f t="shared" si="87"/>
        <v>45.172783707865165</v>
      </c>
      <c r="M808" s="1">
        <v>-230.27794</v>
      </c>
      <c r="N808" s="1">
        <v>-28.553699999999999</v>
      </c>
    </row>
    <row r="809" spans="1:14" x14ac:dyDescent="0.4">
      <c r="B809" s="1">
        <v>40.799999999999997</v>
      </c>
      <c r="C809" s="1" t="s">
        <v>820</v>
      </c>
      <c r="D809" s="3">
        <f t="shared" si="90"/>
        <v>1941.4545384</v>
      </c>
      <c r="E809" s="1">
        <v>208.8837</v>
      </c>
      <c r="F809" s="1">
        <v>15.2156</v>
      </c>
      <c r="G809" s="1">
        <v>8.6402999999999999</v>
      </c>
      <c r="H809" s="1">
        <v>19.875</v>
      </c>
      <c r="I809" s="1">
        <v>25.258299999999998</v>
      </c>
      <c r="J809" s="1">
        <f t="shared" si="86"/>
        <v>17.320719399999998</v>
      </c>
      <c r="K809" s="1">
        <v>2.0590400000000102</v>
      </c>
      <c r="L809" s="1">
        <f t="shared" si="87"/>
        <v>199.15295876404494</v>
      </c>
      <c r="M809" s="1">
        <v>-243.49897000000001</v>
      </c>
      <c r="N809" s="1">
        <v>-30.097670000000001</v>
      </c>
    </row>
    <row r="810" spans="1:14" x14ac:dyDescent="0.4">
      <c r="B810" s="1">
        <v>40.85</v>
      </c>
      <c r="C810" s="1" t="s">
        <v>821</v>
      </c>
      <c r="D810" s="3">
        <f t="shared" si="90"/>
        <v>1941.3636293</v>
      </c>
      <c r="E810" s="1">
        <v>70.646199999999993</v>
      </c>
      <c r="F810" s="1">
        <v>30.952300000000001</v>
      </c>
      <c r="G810" s="1">
        <v>4.0347</v>
      </c>
      <c r="H810" s="1">
        <v>22.063700000000001</v>
      </c>
      <c r="I810" s="1">
        <v>99.936999999999998</v>
      </c>
      <c r="J810" s="1">
        <f t="shared" si="86"/>
        <v>97.252444400000002</v>
      </c>
      <c r="K810" s="1">
        <v>-3.3230000000003201E-2</v>
      </c>
      <c r="L810" s="1">
        <f t="shared" si="87"/>
        <v>16.00999528089887</v>
      </c>
      <c r="M810" s="1">
        <v>-253.42695000000001</v>
      </c>
      <c r="N810" s="1">
        <v>-31.18552</v>
      </c>
    </row>
    <row r="811" spans="1:14" x14ac:dyDescent="0.4">
      <c r="B811" s="1">
        <v>40.9</v>
      </c>
      <c r="C811" s="1" t="s">
        <v>822</v>
      </c>
      <c r="D811" s="3">
        <f t="shared" si="90"/>
        <v>1941.2727201999999</v>
      </c>
      <c r="E811" s="1">
        <v>12.3933</v>
      </c>
      <c r="F811" s="1">
        <v>19.281099999999999</v>
      </c>
      <c r="G811" s="1">
        <v>1.9950000000000001</v>
      </c>
      <c r="H811" s="1">
        <v>3.3763000000000001</v>
      </c>
      <c r="I811" s="1">
        <v>23.815100000000001</v>
      </c>
      <c r="J811" s="1">
        <f t="shared" si="86"/>
        <v>23.3441546</v>
      </c>
      <c r="K811" s="1">
        <v>-1.8483400000000074</v>
      </c>
      <c r="L811" s="1">
        <f t="shared" si="87"/>
        <v>-0.72139359550561721</v>
      </c>
      <c r="M811" s="1">
        <v>-256.58661000000001</v>
      </c>
      <c r="N811" s="1">
        <v>-31.544370000000001</v>
      </c>
    </row>
    <row r="812" spans="1:14" x14ac:dyDescent="0.4">
      <c r="B812" s="1">
        <v>40.950000000000003</v>
      </c>
      <c r="C812" s="6" t="s">
        <v>823</v>
      </c>
      <c r="D812" s="3">
        <f t="shared" si="90"/>
        <v>1941.1818111</v>
      </c>
      <c r="E812" s="6">
        <v>4.8867000000000003</v>
      </c>
      <c r="F812" s="6">
        <v>40.999099999999999</v>
      </c>
      <c r="G812" s="6">
        <v>2.0091000000000001</v>
      </c>
      <c r="H812" s="6">
        <v>3.7195</v>
      </c>
      <c r="I812" s="6">
        <v>56.428199999999997</v>
      </c>
      <c r="J812" s="1">
        <f t="shared" si="86"/>
        <v>56.242505399999999</v>
      </c>
      <c r="K812" s="1">
        <v>-2.7176100000000076</v>
      </c>
      <c r="L812" s="1">
        <f t="shared" si="87"/>
        <v>-26.710213146067414</v>
      </c>
      <c r="M812" s="1">
        <v>-266.93079999999998</v>
      </c>
      <c r="N812" s="1">
        <v>-33.068080000000002</v>
      </c>
    </row>
    <row r="813" spans="1:14" x14ac:dyDescent="0.4">
      <c r="B813" s="1">
        <v>41</v>
      </c>
      <c r="C813" s="1" t="s">
        <v>824</v>
      </c>
      <c r="D813" s="3">
        <f t="shared" si="90"/>
        <v>1941.0909019999999</v>
      </c>
      <c r="E813" s="1">
        <v>18.3889</v>
      </c>
      <c r="F813" s="1">
        <v>16.701899999999998</v>
      </c>
      <c r="G813" s="1">
        <v>7.5730000000000004</v>
      </c>
      <c r="H813" s="1">
        <v>4.3548999999999998</v>
      </c>
      <c r="I813" s="1">
        <v>39.858499999999999</v>
      </c>
      <c r="J813" s="1">
        <f t="shared" si="86"/>
        <v>39.1597218</v>
      </c>
      <c r="K813" s="1">
        <v>-3.9427900000000022</v>
      </c>
      <c r="L813" s="1">
        <f t="shared" si="87"/>
        <v>-3.6109437078651681</v>
      </c>
      <c r="M813" s="1">
        <v>-264.64693</v>
      </c>
      <c r="N813" s="1">
        <v>-32.988140000000001</v>
      </c>
    </row>
    <row r="814" spans="1:14" x14ac:dyDescent="0.4">
      <c r="A814" s="1">
        <v>1941</v>
      </c>
      <c r="B814" s="1">
        <v>41.05</v>
      </c>
      <c r="C814" s="1" t="s">
        <v>825</v>
      </c>
      <c r="D814" s="3">
        <f>-2.22222*B814+2032.22222</f>
        <v>1941.0000890000001</v>
      </c>
      <c r="E814" s="1">
        <v>14.664999999999999</v>
      </c>
      <c r="F814" s="1">
        <v>2.2963</v>
      </c>
      <c r="G814" s="1">
        <v>7.5340999999999996</v>
      </c>
      <c r="H814" s="1">
        <v>5.8826000000000001</v>
      </c>
      <c r="I814" s="1">
        <v>53.136299999999999</v>
      </c>
      <c r="J814" s="1">
        <f t="shared" si="86"/>
        <v>52.579029999999996</v>
      </c>
      <c r="K814" s="1">
        <v>-4.2316500000000019</v>
      </c>
      <c r="L814" s="1">
        <f t="shared" si="87"/>
        <v>-14.873780898876401</v>
      </c>
      <c r="M814" s="1">
        <v>-257.66422999999998</v>
      </c>
      <c r="N814" s="1">
        <v>-32.191789999999997</v>
      </c>
    </row>
    <row r="815" spans="1:14" x14ac:dyDescent="0.4">
      <c r="B815" s="1">
        <v>41.1</v>
      </c>
      <c r="C815" s="1" t="s">
        <v>826</v>
      </c>
      <c r="D815" s="3">
        <f t="shared" ref="D815:D822" si="91">-2.22222*B815+2032.22222</f>
        <v>1940.8889780000002</v>
      </c>
      <c r="E815" s="1">
        <v>12.5496</v>
      </c>
      <c r="F815" s="1">
        <v>12.441000000000001</v>
      </c>
      <c r="G815" s="1">
        <v>2.5537999999999998</v>
      </c>
      <c r="H815" s="1">
        <v>3.1678999999999999</v>
      </c>
      <c r="I815" s="1">
        <v>32.374899999999997</v>
      </c>
      <c r="J815" s="1">
        <f t="shared" si="86"/>
        <v>31.898015199999996</v>
      </c>
      <c r="K815" s="1">
        <v>-2.3861599999999612</v>
      </c>
      <c r="L815" s="1">
        <f t="shared" si="87"/>
        <v>-5.3706332584269649</v>
      </c>
      <c r="M815" s="1">
        <v>-256.9511</v>
      </c>
      <c r="N815" s="1">
        <v>-32.204540000000001</v>
      </c>
    </row>
    <row r="816" spans="1:14" x14ac:dyDescent="0.4">
      <c r="B816" s="1">
        <v>41.15</v>
      </c>
      <c r="C816" s="1" t="s">
        <v>827</v>
      </c>
      <c r="D816" s="3">
        <f t="shared" si="91"/>
        <v>1940.777867</v>
      </c>
      <c r="E816" s="1">
        <v>54.1723</v>
      </c>
      <c r="F816" s="1">
        <v>33.317399999999999</v>
      </c>
      <c r="G816" s="1">
        <v>3.9923000000000002</v>
      </c>
      <c r="H816" s="1">
        <v>20.677399999999999</v>
      </c>
      <c r="I816" s="1">
        <v>72.735500000000002</v>
      </c>
      <c r="J816" s="1">
        <f t="shared" si="86"/>
        <v>70.676952600000007</v>
      </c>
      <c r="K816" s="1">
        <v>-0.74180999999998676</v>
      </c>
      <c r="L816" s="1">
        <f t="shared" si="87"/>
        <v>14.466146853932578</v>
      </c>
      <c r="M816" s="1">
        <v>-249.12656999999999</v>
      </c>
      <c r="N816" s="1">
        <v>-31.14414</v>
      </c>
    </row>
    <row r="817" spans="1:14" x14ac:dyDescent="0.4">
      <c r="B817" s="1">
        <v>41.2</v>
      </c>
      <c r="C817" s="1" t="s">
        <v>828</v>
      </c>
      <c r="D817" s="3">
        <f t="shared" si="91"/>
        <v>1940.6667560000001</v>
      </c>
      <c r="E817" s="1">
        <v>60.811199999999999</v>
      </c>
      <c r="F817" s="1">
        <v>14.7277</v>
      </c>
      <c r="G817" s="1">
        <v>3.9838</v>
      </c>
      <c r="H817" s="1">
        <v>10.259600000000001</v>
      </c>
      <c r="I817" s="1">
        <v>31.144600000000001</v>
      </c>
      <c r="J817" s="1">
        <f t="shared" si="86"/>
        <v>28.833774399999999</v>
      </c>
      <c r="K817" s="1">
        <v>-0.12990999999999531</v>
      </c>
      <c r="L817" s="1">
        <f t="shared" si="87"/>
        <v>44.612450337078656</v>
      </c>
      <c r="M817" s="1">
        <v>-239.55018999999999</v>
      </c>
      <c r="N817" s="1">
        <v>-30.267399999999999</v>
      </c>
    </row>
    <row r="818" spans="1:14" x14ac:dyDescent="0.4">
      <c r="B818" s="1">
        <v>41.25</v>
      </c>
      <c r="C818" s="1" t="s">
        <v>829</v>
      </c>
      <c r="D818" s="3">
        <f t="shared" si="91"/>
        <v>1940.5556450000001</v>
      </c>
      <c r="E818" s="1">
        <v>41.515900000000002</v>
      </c>
      <c r="F818" s="1">
        <v>10.731400000000001</v>
      </c>
      <c r="G818" s="1">
        <v>2.1309</v>
      </c>
      <c r="H818" s="1">
        <v>9.0083000000000002</v>
      </c>
      <c r="I818" s="1">
        <v>71.201099999999997</v>
      </c>
      <c r="J818" s="1">
        <f t="shared" si="86"/>
        <v>69.623495800000001</v>
      </c>
      <c r="K818" s="1">
        <v>0.68522000000001526</v>
      </c>
      <c r="L818" s="1">
        <f t="shared" si="87"/>
        <v>2.401576516853936</v>
      </c>
      <c r="M818" s="1">
        <v>-238.92283</v>
      </c>
      <c r="N818" s="1">
        <v>-30.030989999999999</v>
      </c>
    </row>
    <row r="819" spans="1:14" x14ac:dyDescent="0.4">
      <c r="B819" s="1">
        <v>41.3</v>
      </c>
      <c r="C819" s="1" t="s">
        <v>830</v>
      </c>
      <c r="D819" s="3">
        <f t="shared" si="91"/>
        <v>1940.4445340000002</v>
      </c>
      <c r="E819" s="1">
        <v>69.912800000000004</v>
      </c>
      <c r="F819" s="1">
        <v>18.758299999999998</v>
      </c>
      <c r="G819" s="1">
        <v>4.1056999999999997</v>
      </c>
      <c r="H819" s="1">
        <v>7.5640999999999998</v>
      </c>
      <c r="I819" s="1">
        <v>18.414400000000001</v>
      </c>
      <c r="J819" s="1">
        <f t="shared" si="86"/>
        <v>15.757713600000001</v>
      </c>
      <c r="K819" s="1">
        <v>2.6550000000014506E-2</v>
      </c>
      <c r="L819" s="1">
        <f t="shared" si="87"/>
        <v>61.060151910112367</v>
      </c>
      <c r="M819" s="1">
        <v>-247.25039000000001</v>
      </c>
      <c r="N819" s="1">
        <v>-30.96031</v>
      </c>
    </row>
    <row r="820" spans="1:14" x14ac:dyDescent="0.4">
      <c r="B820" s="1">
        <v>41.35</v>
      </c>
      <c r="C820" s="1" t="s">
        <v>831</v>
      </c>
      <c r="D820" s="3">
        <f t="shared" si="91"/>
        <v>1940.333423</v>
      </c>
      <c r="E820" s="1">
        <v>15.2364</v>
      </c>
      <c r="F820" s="1">
        <v>9.44</v>
      </c>
      <c r="G820" s="1">
        <v>6.8560999999999996</v>
      </c>
      <c r="H820" s="1">
        <v>3.1383000000000001</v>
      </c>
      <c r="I820" s="1">
        <v>58.241500000000002</v>
      </c>
      <c r="J820" s="1">
        <f t="shared" si="86"/>
        <v>57.662516799999999</v>
      </c>
      <c r="K820" s="1">
        <v>2.5890100000000018</v>
      </c>
      <c r="L820" s="1">
        <f t="shared" si="87"/>
        <v>-17.158272359550562</v>
      </c>
      <c r="M820" s="1">
        <v>-257.80718999999999</v>
      </c>
      <c r="N820" s="1">
        <v>-32.174169999999997</v>
      </c>
    </row>
    <row r="821" spans="1:14" x14ac:dyDescent="0.4">
      <c r="B821" s="1">
        <v>41.4</v>
      </c>
      <c r="C821" s="1" t="s">
        <v>832</v>
      </c>
      <c r="D821" s="3">
        <f t="shared" si="91"/>
        <v>1940.2223120000001</v>
      </c>
      <c r="E821" s="1">
        <v>48.450800000000001</v>
      </c>
      <c r="F821" s="1">
        <v>18.6174</v>
      </c>
      <c r="G821" s="1">
        <v>2.3784999999999998</v>
      </c>
      <c r="H821" s="1">
        <v>5.2885</v>
      </c>
      <c r="I821" s="1">
        <v>18.098600000000001</v>
      </c>
      <c r="J821" s="1">
        <f t="shared" si="86"/>
        <v>16.2574696</v>
      </c>
      <c r="K821" s="1">
        <v>1.3250899999999888</v>
      </c>
      <c r="L821" s="1">
        <f t="shared" si="87"/>
        <v>39.317390112359554</v>
      </c>
      <c r="M821" s="1">
        <v>-260.72924999999998</v>
      </c>
      <c r="N821" s="1">
        <v>-32.538620000000002</v>
      </c>
    </row>
    <row r="822" spans="1:14" x14ac:dyDescent="0.4">
      <c r="B822" s="1">
        <v>41.45</v>
      </c>
      <c r="C822" s="1" t="s">
        <v>833</v>
      </c>
      <c r="D822" s="3">
        <f t="shared" si="91"/>
        <v>1940.1112010000002</v>
      </c>
      <c r="E822" s="1">
        <v>15.199</v>
      </c>
      <c r="F822" s="1">
        <v>27.052399999999999</v>
      </c>
      <c r="G822" s="1">
        <v>1.4588000000000001</v>
      </c>
      <c r="H822" s="1">
        <v>2.8978000000000002</v>
      </c>
      <c r="I822" s="1">
        <v>86.085999999999999</v>
      </c>
      <c r="J822" s="1">
        <f t="shared" si="86"/>
        <v>85.508437999999998</v>
      </c>
      <c r="K822" s="1">
        <v>0.43208999999998809</v>
      </c>
      <c r="L822" s="1">
        <f t="shared" si="87"/>
        <v>-32.839448314606742</v>
      </c>
      <c r="M822" s="1">
        <v>-259.79950000000002</v>
      </c>
      <c r="N822" s="1">
        <v>-32.386769999999999</v>
      </c>
    </row>
    <row r="823" spans="1:14" x14ac:dyDescent="0.4">
      <c r="A823" s="1">
        <v>1940</v>
      </c>
      <c r="B823" s="1">
        <v>41.5</v>
      </c>
      <c r="C823" s="1" t="s">
        <v>834</v>
      </c>
      <c r="D823" s="3">
        <f>-1.25*B823+1991.875</f>
        <v>1940</v>
      </c>
      <c r="E823" s="1">
        <v>40.519500000000001</v>
      </c>
      <c r="F823" s="1">
        <v>15.4407</v>
      </c>
      <c r="G823" s="1">
        <v>11.366099999999999</v>
      </c>
      <c r="H823" s="1">
        <v>4.2188999999999997</v>
      </c>
      <c r="I823" s="1">
        <v>31.070599999999999</v>
      </c>
      <c r="J823" s="1">
        <f t="shared" si="86"/>
        <v>29.530859</v>
      </c>
      <c r="K823" s="1">
        <v>-0.41383000000001857</v>
      </c>
      <c r="L823" s="1">
        <f t="shared" si="87"/>
        <v>23.929129775280899</v>
      </c>
      <c r="M823" s="1">
        <v>-252.88271</v>
      </c>
      <c r="N823" s="1">
        <v>-31.68045</v>
      </c>
    </row>
    <row r="824" spans="1:14" x14ac:dyDescent="0.4">
      <c r="B824" s="1">
        <v>41.55</v>
      </c>
      <c r="C824" s="1" t="s">
        <v>835</v>
      </c>
      <c r="D824" s="3">
        <f t="shared" ref="D824:D838" si="92">-1.25*B824+1991.875</f>
        <v>1939.9375</v>
      </c>
      <c r="E824" s="1">
        <v>14.974299999999999</v>
      </c>
      <c r="F824" s="1">
        <v>36.420200000000001</v>
      </c>
      <c r="G824" s="1">
        <v>3.3283</v>
      </c>
      <c r="H824" s="1">
        <v>3.0672999999999999</v>
      </c>
      <c r="I824" s="1">
        <v>85.807400000000001</v>
      </c>
      <c r="J824" s="1">
        <f t="shared" si="86"/>
        <v>85.238376599999995</v>
      </c>
      <c r="K824" s="1">
        <v>-0.42028999999996586</v>
      </c>
      <c r="L824" s="1">
        <f t="shared" si="87"/>
        <v>-32.912428426966287</v>
      </c>
      <c r="M824" s="1">
        <v>-249.22292999999999</v>
      </c>
      <c r="N824" s="1">
        <v>-31.34901</v>
      </c>
    </row>
    <row r="825" spans="1:14" x14ac:dyDescent="0.4">
      <c r="B825" s="1">
        <v>41.6</v>
      </c>
      <c r="C825" s="1" t="s">
        <v>836</v>
      </c>
      <c r="D825" s="3">
        <f t="shared" si="92"/>
        <v>1939.875</v>
      </c>
      <c r="E825" s="1">
        <v>45.885800000000003</v>
      </c>
      <c r="F825" s="1">
        <v>10.741899999999999</v>
      </c>
      <c r="G825" s="1">
        <v>7.7770999999999999</v>
      </c>
      <c r="H825" s="1">
        <v>23.729299999999999</v>
      </c>
      <c r="I825" s="1">
        <v>29.819900000000001</v>
      </c>
      <c r="J825" s="1">
        <f t="shared" si="86"/>
        <v>28.076239600000001</v>
      </c>
      <c r="K825" s="1">
        <v>-0.70534000000003516</v>
      </c>
      <c r="L825" s="1">
        <f t="shared" si="87"/>
        <v>30.112631685393261</v>
      </c>
      <c r="M825" s="1">
        <v>-240.47495000000001</v>
      </c>
      <c r="N825" s="1">
        <v>-30.158239999999999</v>
      </c>
    </row>
    <row r="826" spans="1:14" x14ac:dyDescent="0.4">
      <c r="B826" s="1">
        <v>41.65</v>
      </c>
      <c r="C826" s="1" t="s">
        <v>837</v>
      </c>
      <c r="D826" s="3">
        <f t="shared" si="92"/>
        <v>1939.8125</v>
      </c>
      <c r="E826" s="1">
        <v>317.68329999999997</v>
      </c>
      <c r="F826" s="1">
        <v>13.907299999999999</v>
      </c>
      <c r="G826" s="1">
        <v>10.543799999999999</v>
      </c>
      <c r="H826" s="1">
        <v>36.039099999999998</v>
      </c>
      <c r="I826" s="1">
        <v>139.49940000000001</v>
      </c>
      <c r="J826" s="1">
        <f t="shared" si="86"/>
        <v>127.42743460000001</v>
      </c>
      <c r="K826" s="1">
        <v>0.56089000000000055</v>
      </c>
      <c r="L826" s="1">
        <f t="shared" si="87"/>
        <v>246.09485359550558</v>
      </c>
      <c r="M826" s="1">
        <v>-237.57067000000001</v>
      </c>
      <c r="N826" s="1">
        <v>-29.8338</v>
      </c>
    </row>
    <row r="827" spans="1:14" x14ac:dyDescent="0.4">
      <c r="B827" s="1">
        <v>41.7</v>
      </c>
      <c r="C827" s="1" t="s">
        <v>838</v>
      </c>
      <c r="D827" s="3">
        <f t="shared" si="92"/>
        <v>1939.75</v>
      </c>
      <c r="E827" s="1">
        <v>166.42760000000001</v>
      </c>
      <c r="F827" s="1">
        <v>22.6539</v>
      </c>
      <c r="G827" s="1">
        <v>11.420500000000001</v>
      </c>
      <c r="H827" s="1">
        <v>27.202000000000002</v>
      </c>
      <c r="I827" s="1">
        <v>26.3551</v>
      </c>
      <c r="J827" s="1">
        <f t="shared" si="86"/>
        <v>20.030851200000001</v>
      </c>
      <c r="K827" s="1">
        <v>1.5691500000000076</v>
      </c>
      <c r="L827" s="1">
        <f t="shared" si="87"/>
        <v>155.17431280898879</v>
      </c>
      <c r="M827" s="1">
        <v>-235.08668</v>
      </c>
      <c r="N827" s="1">
        <v>-29.60351</v>
      </c>
    </row>
    <row r="828" spans="1:14" x14ac:dyDescent="0.4">
      <c r="B828" s="1">
        <v>41.75</v>
      </c>
      <c r="C828" s="1" t="s">
        <v>839</v>
      </c>
      <c r="D828" s="3">
        <f t="shared" si="92"/>
        <v>1939.6875</v>
      </c>
      <c r="E828" s="1">
        <v>52.984400000000001</v>
      </c>
      <c r="F828" s="1">
        <v>7.9055</v>
      </c>
      <c r="G828" s="1">
        <v>3.6</v>
      </c>
      <c r="H828" s="1">
        <v>26.8688</v>
      </c>
      <c r="I828" s="1">
        <v>66.8035</v>
      </c>
      <c r="J828" s="1">
        <f t="shared" si="86"/>
        <v>64.790092799999996</v>
      </c>
      <c r="K828" s="1">
        <v>0.79096999999998729</v>
      </c>
      <c r="L828" s="1">
        <f t="shared" si="87"/>
        <v>16.585471460674164</v>
      </c>
      <c r="M828" s="1">
        <v>-241.35114999999999</v>
      </c>
      <c r="N828" s="1">
        <v>-30.113199999999999</v>
      </c>
    </row>
    <row r="829" spans="1:14" x14ac:dyDescent="0.4">
      <c r="B829" s="1">
        <v>41.8</v>
      </c>
      <c r="C829" s="1" t="s">
        <v>840</v>
      </c>
      <c r="D829" s="3">
        <f t="shared" si="92"/>
        <v>1939.625</v>
      </c>
      <c r="E829" s="1">
        <v>53.0379</v>
      </c>
      <c r="F829" s="1">
        <v>23.3217</v>
      </c>
      <c r="G829" s="1">
        <v>4.5195999999999996</v>
      </c>
      <c r="H829" s="1">
        <v>11.594900000000001</v>
      </c>
      <c r="I829" s="1">
        <v>31.8904</v>
      </c>
      <c r="J829" s="1">
        <f t="shared" si="86"/>
        <v>29.874959799999999</v>
      </c>
      <c r="K829" s="1">
        <v>1.0997299999999939</v>
      </c>
      <c r="L829" s="1">
        <f t="shared" si="87"/>
        <v>36.254214719101128</v>
      </c>
      <c r="M829" s="1">
        <v>-253.55271999999999</v>
      </c>
      <c r="N829" s="1">
        <v>-31.814630000000001</v>
      </c>
    </row>
    <row r="830" spans="1:14" x14ac:dyDescent="0.4">
      <c r="B830" s="1">
        <v>41.85</v>
      </c>
      <c r="C830" s="1" t="s">
        <v>841</v>
      </c>
      <c r="D830" s="3">
        <f t="shared" si="92"/>
        <v>1939.5625</v>
      </c>
      <c r="E830" s="1">
        <v>5.2321</v>
      </c>
      <c r="F830" s="1">
        <v>16.8872</v>
      </c>
      <c r="G830" s="1">
        <v>1.6803999999999999</v>
      </c>
      <c r="H830" s="1">
        <v>2.9274</v>
      </c>
      <c r="I830" s="1">
        <v>36.358199999999997</v>
      </c>
      <c r="J830" s="1">
        <f t="shared" si="86"/>
        <v>36.159380199999994</v>
      </c>
      <c r="K830" s="1">
        <v>1.7413999999999987</v>
      </c>
      <c r="L830" s="1">
        <f t="shared" si="87"/>
        <v>-15.082158539325839</v>
      </c>
      <c r="M830" s="1">
        <v>-262.95208000000002</v>
      </c>
      <c r="N830" s="1">
        <v>-32.685119999999998</v>
      </c>
    </row>
    <row r="831" spans="1:14" x14ac:dyDescent="0.4">
      <c r="B831" s="1">
        <v>41.9</v>
      </c>
      <c r="C831" s="1" t="s">
        <v>842</v>
      </c>
      <c r="D831" s="3">
        <f t="shared" si="92"/>
        <v>1939.5</v>
      </c>
      <c r="E831" s="1">
        <v>10.135400000000001</v>
      </c>
      <c r="F831" s="1">
        <v>11.76</v>
      </c>
      <c r="G831" s="1">
        <v>1.9235</v>
      </c>
      <c r="H831" s="1">
        <v>2.4157000000000002</v>
      </c>
      <c r="I831" s="1">
        <v>12.7546</v>
      </c>
      <c r="J831" s="1">
        <f t="shared" si="86"/>
        <v>12.3694548</v>
      </c>
      <c r="K831" s="1">
        <v>-0.44554999999999723</v>
      </c>
      <c r="L831" s="1">
        <f t="shared" si="87"/>
        <v>3.1862680898876414</v>
      </c>
      <c r="M831" s="1">
        <v>-265.49354</v>
      </c>
      <c r="N831" s="1">
        <v>-33.18806</v>
      </c>
    </row>
    <row r="832" spans="1:14" x14ac:dyDescent="0.4">
      <c r="B832" s="1">
        <v>41.95</v>
      </c>
      <c r="C832" s="1" t="s">
        <v>843</v>
      </c>
      <c r="D832" s="3">
        <f t="shared" si="92"/>
        <v>1939.4375</v>
      </c>
      <c r="E832" s="1">
        <v>32.9846</v>
      </c>
      <c r="F832" s="1">
        <v>49.161099999999998</v>
      </c>
      <c r="G832" s="1">
        <v>6.2695999999999996</v>
      </c>
      <c r="H832" s="1">
        <v>5.1863000000000001</v>
      </c>
      <c r="I832" s="1">
        <v>154.83439999999999</v>
      </c>
      <c r="J832" s="1">
        <f t="shared" si="86"/>
        <v>153.58098519999999</v>
      </c>
      <c r="K832" s="1">
        <v>0.96432000000001494</v>
      </c>
      <c r="L832" s="1">
        <f t="shared" si="87"/>
        <v>-53.296852359550556</v>
      </c>
      <c r="M832" s="1">
        <v>-258.91586000000001</v>
      </c>
      <c r="N832" s="1">
        <v>-32.553420000000003</v>
      </c>
    </row>
    <row r="833" spans="1:14" x14ac:dyDescent="0.4">
      <c r="B833" s="1">
        <v>42</v>
      </c>
      <c r="C833" s="1" t="s">
        <v>844</v>
      </c>
      <c r="D833" s="3">
        <f t="shared" si="92"/>
        <v>1939.375</v>
      </c>
      <c r="E833" s="1">
        <v>70.381299999999996</v>
      </c>
      <c r="F833" s="1">
        <v>12.2584</v>
      </c>
      <c r="G833" s="1">
        <v>2.9041999999999999</v>
      </c>
      <c r="H833" s="1">
        <v>11.730600000000001</v>
      </c>
      <c r="I833" s="1">
        <v>25.8672</v>
      </c>
      <c r="J833" s="1">
        <f t="shared" si="86"/>
        <v>23.192710600000002</v>
      </c>
      <c r="K833" s="1">
        <v>-1.4711200000000417</v>
      </c>
      <c r="L833" s="1">
        <f t="shared" si="87"/>
        <v>57.351687303370781</v>
      </c>
      <c r="M833" s="1">
        <v>-255.80681000000001</v>
      </c>
      <c r="N833" s="1">
        <v>-32.36703</v>
      </c>
    </row>
    <row r="834" spans="1:14" x14ac:dyDescent="0.4">
      <c r="B834" s="1">
        <v>42.05</v>
      </c>
      <c r="C834" s="1" t="s">
        <v>845</v>
      </c>
      <c r="D834" s="3">
        <f t="shared" si="92"/>
        <v>1939.3125</v>
      </c>
      <c r="E834" s="1">
        <v>48.960299999999997</v>
      </c>
      <c r="F834" s="1">
        <v>2.5246</v>
      </c>
      <c r="G834" s="1">
        <v>7.8045999999999998</v>
      </c>
      <c r="H834" s="1">
        <v>11.9283</v>
      </c>
      <c r="I834" s="1">
        <v>82.297799999999995</v>
      </c>
      <c r="J834" s="1">
        <f t="shared" si="86"/>
        <v>80.437308599999994</v>
      </c>
      <c r="K834" s="1">
        <v>1.0940000000005057E-2</v>
      </c>
      <c r="L834" s="1">
        <f t="shared" si="87"/>
        <v>3.7708007865168511</v>
      </c>
      <c r="M834" s="1">
        <v>-256.78282999999999</v>
      </c>
      <c r="N834" s="1">
        <v>-32.457630000000002</v>
      </c>
    </row>
    <row r="835" spans="1:14" x14ac:dyDescent="0.4">
      <c r="B835" s="1">
        <v>42.1</v>
      </c>
      <c r="C835" s="1" t="s">
        <v>846</v>
      </c>
      <c r="D835" s="3">
        <f t="shared" si="92"/>
        <v>1939.25</v>
      </c>
      <c r="E835" s="1">
        <v>80.401399999999995</v>
      </c>
      <c r="F835" s="1">
        <v>1.0590999999999999</v>
      </c>
      <c r="G835" s="1">
        <v>8.4367000000000001</v>
      </c>
      <c r="H835" s="1">
        <v>15.9428</v>
      </c>
      <c r="I835" s="1">
        <v>19.996700000000001</v>
      </c>
      <c r="J835" s="1">
        <f t="shared" ref="J835:J898" si="93">I835-0.038*E835</f>
        <v>16.941446800000001</v>
      </c>
      <c r="K835" s="1">
        <v>1.5115000000000123</v>
      </c>
      <c r="L835" s="1">
        <f t="shared" ref="L835:L898" si="94">E835-(J835/1.78)</f>
        <v>70.883733258426957</v>
      </c>
      <c r="M835" s="1">
        <v>-262.77837</v>
      </c>
      <c r="N835" s="1">
        <v>-33.260089999999998</v>
      </c>
    </row>
    <row r="836" spans="1:14" x14ac:dyDescent="0.4">
      <c r="B836" s="1">
        <v>42.15</v>
      </c>
      <c r="C836" s="1" t="s">
        <v>847</v>
      </c>
      <c r="D836" s="3">
        <f t="shared" si="92"/>
        <v>1939.1875</v>
      </c>
      <c r="E836" s="1">
        <v>88.255600000000001</v>
      </c>
      <c r="F836" s="1">
        <v>5.2473000000000001</v>
      </c>
      <c r="G836" s="1">
        <v>4.5590000000000002</v>
      </c>
      <c r="H836" s="1">
        <v>15.9476</v>
      </c>
      <c r="I836" s="1">
        <v>112.3291</v>
      </c>
      <c r="J836" s="1">
        <f t="shared" si="93"/>
        <v>108.9753872</v>
      </c>
      <c r="K836" s="1">
        <v>3.1294299999999851</v>
      </c>
      <c r="L836" s="1">
        <f t="shared" si="94"/>
        <v>27.033472359550565</v>
      </c>
      <c r="M836" s="1">
        <v>-270.09953999999999</v>
      </c>
      <c r="N836" s="1">
        <v>-34.068269999999998</v>
      </c>
    </row>
    <row r="837" spans="1:14" x14ac:dyDescent="0.4">
      <c r="B837" s="1">
        <v>42.2</v>
      </c>
      <c r="C837" s="1" t="s">
        <v>848</v>
      </c>
      <c r="D837" s="3">
        <f t="shared" si="92"/>
        <v>1939.125</v>
      </c>
      <c r="E837" s="1">
        <v>62.039099999999998</v>
      </c>
      <c r="F837" s="1">
        <v>2.3048999999999999</v>
      </c>
      <c r="G837" s="1">
        <v>33.158799999999999</v>
      </c>
      <c r="H837" s="1">
        <v>9.0244</v>
      </c>
      <c r="I837" s="1">
        <v>36.396500000000003</v>
      </c>
      <c r="J837" s="1">
        <f t="shared" si="93"/>
        <v>34.039014200000004</v>
      </c>
      <c r="K837" s="1">
        <v>2.8782100000000241</v>
      </c>
      <c r="L837" s="1">
        <f t="shared" si="94"/>
        <v>42.916058314606737</v>
      </c>
      <c r="M837" s="1">
        <v>-275.36142000000001</v>
      </c>
      <c r="N837" s="1">
        <v>-34.672750000000001</v>
      </c>
    </row>
    <row r="838" spans="1:14" x14ac:dyDescent="0.4">
      <c r="B838" s="1">
        <v>42.25</v>
      </c>
      <c r="C838" s="1" t="s">
        <v>849</v>
      </c>
      <c r="D838" s="3">
        <f t="shared" si="92"/>
        <v>1939.0625</v>
      </c>
      <c r="E838" s="1">
        <v>39.063499999999998</v>
      </c>
      <c r="F838" s="1">
        <v>15.309100000000001</v>
      </c>
      <c r="G838" s="1">
        <v>7.8407</v>
      </c>
      <c r="H838" s="1">
        <v>5.8438999999999997</v>
      </c>
      <c r="I838" s="1">
        <v>96.376400000000004</v>
      </c>
      <c r="J838" s="1">
        <f t="shared" si="93"/>
        <v>94.891987</v>
      </c>
      <c r="K838" s="1">
        <v>3.3023499999999899</v>
      </c>
      <c r="L838" s="1">
        <f t="shared" si="94"/>
        <v>-14.246605056179774</v>
      </c>
      <c r="M838" s="1">
        <v>-280.87995999999998</v>
      </c>
      <c r="N838" s="1">
        <v>-35.264389999999999</v>
      </c>
    </row>
    <row r="839" spans="1:14" x14ac:dyDescent="0.4">
      <c r="A839" s="1">
        <v>1939</v>
      </c>
      <c r="B839" s="1">
        <v>42.3</v>
      </c>
      <c r="C839" s="1" t="s">
        <v>850</v>
      </c>
      <c r="D839" s="3">
        <f>-0.952381*B839+1979.285714</f>
        <v>1938.9999977</v>
      </c>
      <c r="E839" s="1">
        <v>27.377800000000001</v>
      </c>
      <c r="F839" s="1">
        <v>16.899999999999999</v>
      </c>
      <c r="G839" s="1">
        <v>3.8285</v>
      </c>
      <c r="H839" s="1">
        <v>4.2824999999999998</v>
      </c>
      <c r="I839" s="1">
        <v>24.0427</v>
      </c>
      <c r="J839" s="1">
        <f t="shared" si="93"/>
        <v>23.0023436</v>
      </c>
      <c r="K839" s="1">
        <v>2.4466199999999958</v>
      </c>
      <c r="L839" s="1">
        <f t="shared" si="94"/>
        <v>14.455135056179776</v>
      </c>
      <c r="M839" s="1">
        <v>-273.84948000000003</v>
      </c>
      <c r="N839" s="1">
        <v>-34.40889</v>
      </c>
    </row>
    <row r="840" spans="1:14" x14ac:dyDescent="0.4">
      <c r="B840" s="1">
        <v>42.35</v>
      </c>
      <c r="C840" s="1" t="s">
        <v>851</v>
      </c>
      <c r="D840" s="3">
        <f t="shared" ref="D840:D859" si="95">-0.952381*B840+1979.285714</f>
        <v>1938.9523786500001</v>
      </c>
      <c r="E840" s="1">
        <v>8.4890000000000008</v>
      </c>
      <c r="F840" s="1">
        <v>28.9634</v>
      </c>
      <c r="G840" s="1">
        <v>2.2677</v>
      </c>
      <c r="H840" s="1">
        <v>4.5008999999999997</v>
      </c>
      <c r="I840" s="1">
        <v>46.096499999999999</v>
      </c>
      <c r="J840" s="1">
        <f t="shared" si="93"/>
        <v>45.773918000000002</v>
      </c>
      <c r="K840" s="1">
        <v>2.0205799999999954</v>
      </c>
      <c r="L840" s="1">
        <f t="shared" si="94"/>
        <v>-17.226684269662922</v>
      </c>
      <c r="M840" s="1">
        <v>-262.98372999999998</v>
      </c>
      <c r="N840" s="1">
        <v>-33.039140000000003</v>
      </c>
    </row>
    <row r="841" spans="1:14" x14ac:dyDescent="0.4">
      <c r="B841" s="1">
        <v>42.4</v>
      </c>
      <c r="C841" s="1" t="s">
        <v>852</v>
      </c>
      <c r="D841" s="3">
        <f t="shared" si="95"/>
        <v>1938.9047596</v>
      </c>
      <c r="E841" s="1">
        <v>109.5924</v>
      </c>
      <c r="F841" s="1">
        <v>42.866999999999997</v>
      </c>
      <c r="G841" s="1">
        <v>57.281999999999996</v>
      </c>
      <c r="H841" s="1">
        <v>19.5684</v>
      </c>
      <c r="I841" s="1">
        <v>77.251300000000001</v>
      </c>
      <c r="J841" s="1">
        <f t="shared" si="93"/>
        <v>73.086788799999994</v>
      </c>
      <c r="K841" s="1">
        <v>1.2351600000000076</v>
      </c>
      <c r="L841" s="1">
        <f t="shared" si="94"/>
        <v>68.532406292134823</v>
      </c>
      <c r="M841" s="1">
        <v>-251.0189</v>
      </c>
      <c r="N841" s="1">
        <v>-31.75686</v>
      </c>
    </row>
    <row r="842" spans="1:14" x14ac:dyDescent="0.4">
      <c r="B842" s="1">
        <v>42.45</v>
      </c>
      <c r="C842" s="1" t="s">
        <v>853</v>
      </c>
      <c r="D842" s="3">
        <f t="shared" si="95"/>
        <v>1938.8571405500002</v>
      </c>
      <c r="E842" s="1">
        <v>10.081099999999999</v>
      </c>
      <c r="F842" s="1">
        <v>19.0259</v>
      </c>
      <c r="G842" s="1">
        <v>2.5756999999999999</v>
      </c>
      <c r="H842" s="1">
        <v>2.2448000000000001</v>
      </c>
      <c r="I842" s="1">
        <v>97.596500000000006</v>
      </c>
      <c r="J842" s="1">
        <f t="shared" si="93"/>
        <v>97.213418200000007</v>
      </c>
      <c r="K842" s="1">
        <v>1.421639999999968</v>
      </c>
      <c r="L842" s="1">
        <f t="shared" si="94"/>
        <v>-44.533179887640451</v>
      </c>
      <c r="M842" s="1">
        <v>-241.74625</v>
      </c>
      <c r="N842" s="1">
        <v>-30.528590000000001</v>
      </c>
    </row>
    <row r="843" spans="1:14" x14ac:dyDescent="0.4">
      <c r="B843" s="1">
        <v>42.5</v>
      </c>
      <c r="C843" s="1" t="s">
        <v>854</v>
      </c>
      <c r="D843" s="3">
        <f t="shared" si="95"/>
        <v>1938.8095215000001</v>
      </c>
      <c r="E843" s="1">
        <v>56.046100000000003</v>
      </c>
      <c r="F843" s="1">
        <v>2.5543</v>
      </c>
      <c r="G843" s="1">
        <v>2.9089999999999998</v>
      </c>
      <c r="H843" s="1">
        <v>4.5898000000000003</v>
      </c>
      <c r="I843" s="1">
        <v>13.022</v>
      </c>
      <c r="J843" s="1">
        <f t="shared" si="93"/>
        <v>10.892248200000001</v>
      </c>
      <c r="K843" s="1">
        <v>1.3293900000000463</v>
      </c>
      <c r="L843" s="1">
        <f t="shared" si="94"/>
        <v>49.92685943820225</v>
      </c>
      <c r="M843" s="1">
        <v>-239.62257</v>
      </c>
      <c r="N843" s="1">
        <v>-30.164619999999999</v>
      </c>
    </row>
    <row r="844" spans="1:14" x14ac:dyDescent="0.4">
      <c r="B844" s="1">
        <v>42.55</v>
      </c>
      <c r="C844" s="1" t="s">
        <v>855</v>
      </c>
      <c r="D844" s="3">
        <f t="shared" si="95"/>
        <v>1938.7619024500002</v>
      </c>
      <c r="E844" s="1">
        <v>24.427</v>
      </c>
      <c r="F844" s="1">
        <v>40.354399999999998</v>
      </c>
      <c r="G844" s="1">
        <v>6.3326000000000002</v>
      </c>
      <c r="H844" s="1">
        <v>4.2769000000000004</v>
      </c>
      <c r="I844" s="1">
        <v>109.3852</v>
      </c>
      <c r="J844" s="1">
        <f t="shared" si="93"/>
        <v>108.456974</v>
      </c>
      <c r="K844" s="1">
        <v>3.035979999999995</v>
      </c>
      <c r="L844" s="1">
        <f t="shared" si="94"/>
        <v>-36.503884269662919</v>
      </c>
      <c r="M844" s="1">
        <v>-243.05117000000001</v>
      </c>
      <c r="N844" s="1">
        <v>-30.618030000000001</v>
      </c>
    </row>
    <row r="845" spans="1:14" x14ac:dyDescent="0.4">
      <c r="B845" s="1">
        <v>42.6</v>
      </c>
      <c r="C845" s="1" t="s">
        <v>856</v>
      </c>
      <c r="D845" s="3">
        <f t="shared" si="95"/>
        <v>1938.7142834000001</v>
      </c>
      <c r="E845" s="1">
        <v>141.03540000000001</v>
      </c>
      <c r="F845" s="1">
        <v>1.3129</v>
      </c>
      <c r="G845" s="1">
        <v>9.9628999999999994</v>
      </c>
      <c r="H845" s="1">
        <v>13.977</v>
      </c>
      <c r="I845" s="1">
        <v>20.967300000000002</v>
      </c>
      <c r="J845" s="1">
        <f t="shared" si="93"/>
        <v>15.607954800000002</v>
      </c>
      <c r="K845" s="1">
        <v>2.4824700000000064</v>
      </c>
      <c r="L845" s="1">
        <f t="shared" si="94"/>
        <v>132.26688606741573</v>
      </c>
      <c r="M845" s="1">
        <v>-243.3184</v>
      </c>
      <c r="N845" s="1">
        <v>-30.576830000000001</v>
      </c>
    </row>
    <row r="846" spans="1:14" x14ac:dyDescent="0.4">
      <c r="B846" s="1">
        <v>42.65</v>
      </c>
      <c r="C846" s="1" t="s">
        <v>857</v>
      </c>
      <c r="D846" s="3">
        <f t="shared" si="95"/>
        <v>1938.66666435</v>
      </c>
      <c r="E846" s="1">
        <v>62.107500000000002</v>
      </c>
      <c r="F846" s="1">
        <v>28.559200000000001</v>
      </c>
      <c r="G846" s="1">
        <v>3.8382999999999998</v>
      </c>
      <c r="H846" s="1">
        <v>25.968</v>
      </c>
      <c r="I846" s="1">
        <v>54.791600000000003</v>
      </c>
      <c r="J846" s="1">
        <f t="shared" si="93"/>
        <v>52.431515000000005</v>
      </c>
      <c r="K846" s="1">
        <v>1.6943899999999985</v>
      </c>
      <c r="L846" s="1">
        <f t="shared" si="94"/>
        <v>32.651592696629208</v>
      </c>
      <c r="M846" s="1">
        <v>-247.17649</v>
      </c>
      <c r="N846" s="1">
        <v>-30.915890000000001</v>
      </c>
    </row>
    <row r="847" spans="1:14" x14ac:dyDescent="0.4">
      <c r="B847" s="1">
        <v>42.7</v>
      </c>
      <c r="C847" s="1" t="s">
        <v>858</v>
      </c>
      <c r="D847" s="3">
        <f t="shared" si="95"/>
        <v>1938.6190453000002</v>
      </c>
      <c r="E847" s="1">
        <v>67.699600000000004</v>
      </c>
      <c r="F847" s="1">
        <v>13.1378</v>
      </c>
      <c r="G847" s="1">
        <v>3.1360999999999999</v>
      </c>
      <c r="H847" s="1">
        <v>8.8345000000000002</v>
      </c>
      <c r="I847" s="1">
        <v>12.072800000000001</v>
      </c>
      <c r="J847" s="1">
        <f t="shared" si="93"/>
        <v>9.5002152000000013</v>
      </c>
      <c r="K847" s="1">
        <v>1.8930699999999945</v>
      </c>
      <c r="L847" s="1">
        <f t="shared" si="94"/>
        <v>62.362400449438205</v>
      </c>
      <c r="M847" s="1">
        <v>-246.68545</v>
      </c>
      <c r="N847" s="1">
        <v>-31.033519999999999</v>
      </c>
    </row>
    <row r="848" spans="1:14" x14ac:dyDescent="0.4">
      <c r="B848" s="1">
        <v>42.75</v>
      </c>
      <c r="C848" s="1" t="s">
        <v>859</v>
      </c>
      <c r="D848" s="3">
        <f t="shared" si="95"/>
        <v>1938.5714262500001</v>
      </c>
      <c r="E848" s="1">
        <v>32.9773</v>
      </c>
      <c r="F848" s="1">
        <v>42.785299999999999</v>
      </c>
      <c r="G848" s="1">
        <v>3.9529000000000001</v>
      </c>
      <c r="H848" s="1">
        <v>8.5436999999999994</v>
      </c>
      <c r="I848" s="1">
        <v>96.774799999999999</v>
      </c>
      <c r="J848" s="1">
        <f t="shared" si="93"/>
        <v>95.521662599999999</v>
      </c>
      <c r="K848" s="1">
        <v>1.2962400000000116</v>
      </c>
      <c r="L848" s="1">
        <f t="shared" si="94"/>
        <v>-20.686555393258423</v>
      </c>
      <c r="M848" s="1">
        <v>-246.40424999999999</v>
      </c>
      <c r="N848" s="1">
        <v>-30.956959999999999</v>
      </c>
    </row>
    <row r="849" spans="1:14" x14ac:dyDescent="0.4">
      <c r="B849" s="1">
        <v>42.8</v>
      </c>
      <c r="C849" s="1" t="s">
        <v>860</v>
      </c>
      <c r="D849" s="3">
        <f t="shared" si="95"/>
        <v>1938.5238072000002</v>
      </c>
      <c r="E849" s="1">
        <v>140.2534</v>
      </c>
      <c r="F849" s="1">
        <v>29.928799999999999</v>
      </c>
      <c r="G849" s="1">
        <v>12.5113</v>
      </c>
      <c r="H849" s="1">
        <v>12.1973</v>
      </c>
      <c r="I849" s="1">
        <v>22.5123</v>
      </c>
      <c r="J849" s="1">
        <f t="shared" si="93"/>
        <v>17.1826708</v>
      </c>
      <c r="K849" s="1">
        <v>0.1506300000000067</v>
      </c>
      <c r="L849" s="1">
        <f t="shared" si="94"/>
        <v>130.60021415730336</v>
      </c>
      <c r="M849" s="1">
        <v>-256.78568999999999</v>
      </c>
      <c r="N849" s="1">
        <v>-32.380040000000001</v>
      </c>
    </row>
    <row r="850" spans="1:14" x14ac:dyDescent="0.4">
      <c r="B850" s="1">
        <v>42.85</v>
      </c>
      <c r="C850" s="1" t="s">
        <v>861</v>
      </c>
      <c r="D850" s="3">
        <f t="shared" si="95"/>
        <v>1938.4761881500001</v>
      </c>
      <c r="E850" s="1">
        <v>51.247300000000003</v>
      </c>
      <c r="F850" s="1">
        <v>5.9062999999999999</v>
      </c>
      <c r="G850" s="1">
        <v>9.4116</v>
      </c>
      <c r="H850" s="1">
        <v>12.004899999999999</v>
      </c>
      <c r="I850" s="1">
        <v>63.9938</v>
      </c>
      <c r="J850" s="1">
        <f t="shared" si="93"/>
        <v>62.0464026</v>
      </c>
      <c r="K850" s="1">
        <v>1.5827099999999916</v>
      </c>
      <c r="L850" s="1">
        <f t="shared" si="94"/>
        <v>16.389770449438203</v>
      </c>
      <c r="M850" s="1">
        <v>-268.57465999999999</v>
      </c>
      <c r="N850" s="1">
        <v>-33.794260000000001</v>
      </c>
    </row>
    <row r="851" spans="1:14" x14ac:dyDescent="0.4">
      <c r="B851" s="1">
        <v>42.9</v>
      </c>
      <c r="C851" s="1" t="s">
        <v>862</v>
      </c>
      <c r="D851" s="3">
        <f t="shared" si="95"/>
        <v>1938.4285691</v>
      </c>
      <c r="E851" s="1">
        <v>42.473399999999998</v>
      </c>
      <c r="F851" s="1">
        <v>18.378599999999999</v>
      </c>
      <c r="G851" s="1">
        <v>3.1393</v>
      </c>
      <c r="H851" s="1">
        <v>7.3773</v>
      </c>
      <c r="I851" s="1">
        <v>19.6159</v>
      </c>
      <c r="J851" s="1">
        <f t="shared" si="93"/>
        <v>18.001910800000001</v>
      </c>
      <c r="K851" s="1">
        <v>1.2514299999999992</v>
      </c>
      <c r="L851" s="1">
        <f t="shared" si="94"/>
        <v>32.359966966292134</v>
      </c>
      <c r="M851" s="1">
        <v>-278.90820000000002</v>
      </c>
      <c r="N851" s="1">
        <v>-35.083089999999999</v>
      </c>
    </row>
    <row r="852" spans="1:14" x14ac:dyDescent="0.4">
      <c r="B852" s="1">
        <v>42.95</v>
      </c>
      <c r="C852" s="1" t="s">
        <v>863</v>
      </c>
      <c r="D852" s="3">
        <f t="shared" si="95"/>
        <v>1938.3809500500001</v>
      </c>
      <c r="E852" s="1">
        <v>16.924399999999999</v>
      </c>
      <c r="F852" s="1">
        <v>20.133199999999999</v>
      </c>
      <c r="G852" s="1">
        <v>3.5009000000000001</v>
      </c>
      <c r="H852" s="1">
        <v>3.1000999999999999</v>
      </c>
      <c r="I852" s="1">
        <v>49.307600000000001</v>
      </c>
      <c r="J852" s="1">
        <f t="shared" si="93"/>
        <v>48.664472799999999</v>
      </c>
      <c r="K852" s="1">
        <v>2.2546300000000201</v>
      </c>
      <c r="L852" s="1">
        <f t="shared" si="94"/>
        <v>-10.415191460674158</v>
      </c>
      <c r="M852" s="1">
        <v>-282.92126999999999</v>
      </c>
      <c r="N852" s="1">
        <v>-35.603659999999998</v>
      </c>
    </row>
    <row r="853" spans="1:14" x14ac:dyDescent="0.4">
      <c r="B853" s="1">
        <v>43</v>
      </c>
      <c r="C853" s="1" t="s">
        <v>864</v>
      </c>
      <c r="D853" s="3">
        <f t="shared" si="95"/>
        <v>1938.333331</v>
      </c>
      <c r="E853" s="1">
        <v>52.302900000000001</v>
      </c>
      <c r="F853" s="1">
        <v>22.136800000000001</v>
      </c>
      <c r="G853" s="1">
        <v>7.7321</v>
      </c>
      <c r="H853" s="1">
        <v>8.6599000000000004</v>
      </c>
      <c r="I853" s="1">
        <v>31.691199999999998</v>
      </c>
      <c r="J853" s="1">
        <f t="shared" si="93"/>
        <v>29.703689799999999</v>
      </c>
      <c r="K853" s="1">
        <v>1.779420000000016</v>
      </c>
      <c r="L853" s="1">
        <f t="shared" si="94"/>
        <v>35.615433820224723</v>
      </c>
      <c r="M853" s="1">
        <v>-283.64236</v>
      </c>
      <c r="N853" s="1">
        <v>-35.479170000000003</v>
      </c>
    </row>
    <row r="854" spans="1:14" x14ac:dyDescent="0.4">
      <c r="B854" s="1">
        <v>43.05</v>
      </c>
      <c r="C854" s="1" t="s">
        <v>865</v>
      </c>
      <c r="D854" s="3">
        <f t="shared" si="95"/>
        <v>1938.2857119500002</v>
      </c>
      <c r="E854" s="1">
        <v>27.763300000000001</v>
      </c>
      <c r="F854" s="1">
        <v>63.877299999999998</v>
      </c>
      <c r="G854" s="1">
        <v>3.1629</v>
      </c>
      <c r="H854" s="1">
        <v>3.4634999999999998</v>
      </c>
      <c r="I854" s="1">
        <v>138.30799999999999</v>
      </c>
      <c r="J854" s="1">
        <f t="shared" si="93"/>
        <v>137.25299459999999</v>
      </c>
      <c r="K854" s="1">
        <v>1.7565199999999663</v>
      </c>
      <c r="L854" s="1">
        <f t="shared" si="94"/>
        <v>-49.345123932584258</v>
      </c>
      <c r="M854" s="1">
        <v>-269.71033</v>
      </c>
      <c r="N854" s="1">
        <v>-33.906280000000002</v>
      </c>
    </row>
    <row r="855" spans="1:14" x14ac:dyDescent="0.4">
      <c r="B855" s="1">
        <v>43.1</v>
      </c>
      <c r="C855" s="1" t="s">
        <v>866</v>
      </c>
      <c r="D855" s="3">
        <f t="shared" si="95"/>
        <v>1938.2380929000001</v>
      </c>
      <c r="E855" s="1">
        <v>15.438499999999999</v>
      </c>
      <c r="F855" s="1">
        <v>17.199100000000001</v>
      </c>
      <c r="G855" s="1">
        <v>2.8542000000000001</v>
      </c>
      <c r="H855" s="1">
        <v>3.0329999999999999</v>
      </c>
      <c r="I855" s="1">
        <v>52.752699999999997</v>
      </c>
      <c r="J855" s="1">
        <f t="shared" si="93"/>
        <v>52.166036999999996</v>
      </c>
      <c r="K855" s="1">
        <v>1.9080099999999902</v>
      </c>
      <c r="L855" s="1">
        <f t="shared" si="94"/>
        <v>-13.868262359550558</v>
      </c>
      <c r="M855" s="1">
        <v>-256.20661999999999</v>
      </c>
      <c r="N855" s="1">
        <v>-32.393680000000003</v>
      </c>
    </row>
    <row r="856" spans="1:14" x14ac:dyDescent="0.4">
      <c r="B856" s="1">
        <v>43.15</v>
      </c>
      <c r="C856" s="1" t="s">
        <v>867</v>
      </c>
      <c r="D856" s="3">
        <f t="shared" si="95"/>
        <v>1938.19047385</v>
      </c>
      <c r="E856" s="1">
        <v>67.160499999999999</v>
      </c>
      <c r="F856" s="1">
        <v>24.726500000000001</v>
      </c>
      <c r="G856" s="1">
        <v>4.8670999999999998</v>
      </c>
      <c r="H856" s="1">
        <v>8.5114000000000001</v>
      </c>
      <c r="I856" s="1">
        <v>121.8809</v>
      </c>
      <c r="J856" s="1">
        <f t="shared" si="93"/>
        <v>119.328801</v>
      </c>
      <c r="K856" s="1">
        <v>0.19100000000003092</v>
      </c>
      <c r="L856" s="1">
        <f t="shared" si="94"/>
        <v>0.12184775280898918</v>
      </c>
      <c r="M856" s="1">
        <v>-245.10437999999999</v>
      </c>
      <c r="N856" s="1">
        <v>-31.154620000000001</v>
      </c>
    </row>
    <row r="857" spans="1:14" x14ac:dyDescent="0.4">
      <c r="B857" s="1">
        <v>43.2</v>
      </c>
      <c r="C857" s="1" t="s">
        <v>868</v>
      </c>
      <c r="D857" s="3">
        <f t="shared" si="95"/>
        <v>1938.1428548000001</v>
      </c>
      <c r="E857" s="1">
        <v>28.311399999999999</v>
      </c>
      <c r="F857" s="1">
        <v>23.088200000000001</v>
      </c>
      <c r="G857" s="1">
        <v>4.3876999999999997</v>
      </c>
      <c r="H857" s="1">
        <v>5.4530000000000003</v>
      </c>
      <c r="I857" s="1">
        <v>42.939</v>
      </c>
      <c r="J857" s="1">
        <f t="shared" si="93"/>
        <v>41.863166800000002</v>
      </c>
      <c r="K857" s="1">
        <v>1.5399100000000203</v>
      </c>
      <c r="L857" s="1">
        <f t="shared" si="94"/>
        <v>4.7927669662921346</v>
      </c>
      <c r="M857" s="1">
        <v>-246.33815999999999</v>
      </c>
      <c r="N857" s="1">
        <v>-30.926739999999999</v>
      </c>
    </row>
    <row r="858" spans="1:14" x14ac:dyDescent="0.4">
      <c r="B858" s="1">
        <v>43.25</v>
      </c>
      <c r="C858" s="1" t="s">
        <v>869</v>
      </c>
      <c r="D858" s="3">
        <f t="shared" si="95"/>
        <v>1938.09523575</v>
      </c>
      <c r="E858" s="1">
        <v>40.770299999999999</v>
      </c>
      <c r="F858" s="1">
        <v>48.6877</v>
      </c>
      <c r="G858" s="1">
        <v>3.4468000000000001</v>
      </c>
      <c r="H858" s="1">
        <v>8.0662000000000003</v>
      </c>
      <c r="I858" s="1">
        <v>109.9559</v>
      </c>
      <c r="J858" s="1">
        <f t="shared" si="93"/>
        <v>108.4066286</v>
      </c>
      <c r="K858" s="1">
        <v>2.9428200000000402</v>
      </c>
      <c r="L858" s="1">
        <f t="shared" si="94"/>
        <v>-20.132300337078654</v>
      </c>
      <c r="M858" s="1">
        <v>-248.33923999999999</v>
      </c>
      <c r="N858" s="1">
        <v>-31.118400000000001</v>
      </c>
    </row>
    <row r="859" spans="1:14" x14ac:dyDescent="0.4">
      <c r="B859" s="1">
        <v>43.3</v>
      </c>
      <c r="C859" s="1" t="s">
        <v>870</v>
      </c>
      <c r="D859" s="3">
        <f t="shared" si="95"/>
        <v>1938.0476167000002</v>
      </c>
      <c r="E859" s="1">
        <v>118.6511</v>
      </c>
      <c r="F859" s="1">
        <v>22.891100000000002</v>
      </c>
      <c r="G859" s="1">
        <v>6.6780999999999997</v>
      </c>
      <c r="H859" s="1">
        <v>11.653600000000001</v>
      </c>
      <c r="I859" s="1">
        <v>30.536799999999999</v>
      </c>
      <c r="J859" s="1">
        <f t="shared" si="93"/>
        <v>26.0280582</v>
      </c>
      <c r="K859" s="1">
        <v>4.1325800000000186</v>
      </c>
      <c r="L859" s="1">
        <f t="shared" si="94"/>
        <v>104.02859539325843</v>
      </c>
      <c r="M859" s="1">
        <v>-256.14875999999998</v>
      </c>
      <c r="N859" s="1">
        <v>-31.864280000000001</v>
      </c>
    </row>
    <row r="860" spans="1:14" x14ac:dyDescent="0.4">
      <c r="A860" s="1">
        <v>1938</v>
      </c>
      <c r="B860" s="1">
        <v>43.35</v>
      </c>
      <c r="C860" s="1" t="s">
        <v>871</v>
      </c>
      <c r="D860" s="3">
        <f>-2.222222*B860+2034.33333</f>
        <v>1938.0000063</v>
      </c>
      <c r="E860" s="1">
        <v>34.482399999999998</v>
      </c>
      <c r="F860" s="1">
        <v>49.5747</v>
      </c>
      <c r="G860" s="1">
        <v>2.6993</v>
      </c>
      <c r="H860" s="1">
        <v>9.6803000000000008</v>
      </c>
      <c r="I860" s="1">
        <v>71.531199999999998</v>
      </c>
      <c r="J860" s="1">
        <f t="shared" si="93"/>
        <v>70.220868800000005</v>
      </c>
      <c r="K860" s="1">
        <v>1.0757600000000025</v>
      </c>
      <c r="L860" s="1">
        <f t="shared" si="94"/>
        <v>-4.9675262921348349</v>
      </c>
      <c r="M860" s="1">
        <v>-251.91281000000001</v>
      </c>
      <c r="N860" s="1">
        <v>-31.178879999999999</v>
      </c>
    </row>
    <row r="861" spans="1:14" x14ac:dyDescent="0.4">
      <c r="B861" s="1">
        <v>43.4</v>
      </c>
      <c r="C861" s="1" t="s">
        <v>872</v>
      </c>
      <c r="D861" s="3">
        <f t="shared" ref="D861:D868" si="96">-2.222222*B861+2034.33333</f>
        <v>1937.8888952</v>
      </c>
      <c r="E861" s="1">
        <v>7.4686000000000003</v>
      </c>
      <c r="F861" s="1">
        <v>3.3754</v>
      </c>
      <c r="G861" s="1">
        <v>1.3998999999999999</v>
      </c>
      <c r="H861" s="1">
        <v>4.0380000000000003</v>
      </c>
      <c r="I861" s="1">
        <v>31.8597</v>
      </c>
      <c r="J861" s="1">
        <f t="shared" si="93"/>
        <v>31.575893199999999</v>
      </c>
      <c r="K861" s="1">
        <v>0.60796000000001982</v>
      </c>
      <c r="L861" s="1">
        <f t="shared" si="94"/>
        <v>-10.270665842696628</v>
      </c>
      <c r="M861" s="1">
        <v>-241.66092</v>
      </c>
      <c r="N861" s="1">
        <v>-30.15795</v>
      </c>
    </row>
    <row r="862" spans="1:14" x14ac:dyDescent="0.4">
      <c r="B862" s="1">
        <v>43.45</v>
      </c>
      <c r="C862" s="1" t="s">
        <v>873</v>
      </c>
      <c r="D862" s="3">
        <f t="shared" si="96"/>
        <v>1937.7777841</v>
      </c>
      <c r="E862" s="1">
        <v>16.620100000000001</v>
      </c>
      <c r="F862" s="1">
        <v>22.959399999999999</v>
      </c>
      <c r="G862" s="1">
        <v>3.5365000000000002</v>
      </c>
      <c r="H862" s="1">
        <v>6.6208999999999998</v>
      </c>
      <c r="I862" s="1">
        <v>76.092399999999998</v>
      </c>
      <c r="J862" s="1">
        <f t="shared" si="93"/>
        <v>75.460836200000003</v>
      </c>
      <c r="K862" s="1">
        <v>-1.234519999999975</v>
      </c>
      <c r="L862" s="1">
        <f t="shared" si="94"/>
        <v>-25.773628202247188</v>
      </c>
      <c r="M862" s="1">
        <v>-228.77054000000001</v>
      </c>
      <c r="N862" s="1">
        <v>-28.663450000000001</v>
      </c>
    </row>
    <row r="863" spans="1:14" x14ac:dyDescent="0.4">
      <c r="B863" s="1">
        <v>43.5</v>
      </c>
      <c r="C863" s="1" t="s">
        <v>874</v>
      </c>
      <c r="D863" s="3">
        <f t="shared" si="96"/>
        <v>1937.6666729999999</v>
      </c>
      <c r="E863" s="1">
        <v>18.097000000000001</v>
      </c>
      <c r="F863" s="1">
        <v>29.3262</v>
      </c>
      <c r="G863" s="1">
        <v>1.6217999999999999</v>
      </c>
      <c r="H863" s="1">
        <v>3.0768</v>
      </c>
      <c r="I863" s="1">
        <v>34.987699999999997</v>
      </c>
      <c r="J863" s="1">
        <f t="shared" si="93"/>
        <v>34.300013999999997</v>
      </c>
      <c r="K863" s="1">
        <v>-2.4817700000000116</v>
      </c>
      <c r="L863" s="1">
        <f t="shared" si="94"/>
        <v>-1.17267078651685</v>
      </c>
      <c r="M863" s="1">
        <v>-212.17929000000001</v>
      </c>
      <c r="N863" s="1">
        <v>-26.68177</v>
      </c>
    </row>
    <row r="864" spans="1:14" x14ac:dyDescent="0.4">
      <c r="B864" s="1">
        <v>43.55</v>
      </c>
      <c r="C864" s="1" t="s">
        <v>875</v>
      </c>
      <c r="D864" s="3">
        <f t="shared" si="96"/>
        <v>1937.5555618999999</v>
      </c>
      <c r="E864" s="1">
        <v>15.9841</v>
      </c>
      <c r="F864" s="1">
        <v>49.631999999999998</v>
      </c>
      <c r="G864" s="1">
        <v>3.0005000000000002</v>
      </c>
      <c r="H864" s="1">
        <v>8.7669999999999995</v>
      </c>
      <c r="I864" s="1">
        <v>74.846000000000004</v>
      </c>
      <c r="J864" s="1">
        <f t="shared" si="93"/>
        <v>74.238604199999997</v>
      </c>
      <c r="K864" s="1">
        <v>-0.39732000000000767</v>
      </c>
      <c r="L864" s="1">
        <f t="shared" si="94"/>
        <v>-25.722981011235952</v>
      </c>
      <c r="M864" s="1">
        <v>-207.34251</v>
      </c>
      <c r="N864" s="1">
        <v>-26.056560000000001</v>
      </c>
    </row>
    <row r="865" spans="1:14" x14ac:dyDescent="0.4">
      <c r="B865" s="1">
        <v>43.6</v>
      </c>
      <c r="C865" s="1" t="s">
        <v>876</v>
      </c>
      <c r="D865" s="3">
        <f t="shared" si="96"/>
        <v>1937.4444507999999</v>
      </c>
      <c r="E865" s="1">
        <v>40.738399999999999</v>
      </c>
      <c r="F865" s="1">
        <v>14.585699999999999</v>
      </c>
      <c r="G865" s="1">
        <v>9.4520999999999997</v>
      </c>
      <c r="H865" s="1">
        <v>7.9046000000000003</v>
      </c>
      <c r="I865" s="1">
        <v>22.103100000000001</v>
      </c>
      <c r="J865" s="1">
        <f t="shared" si="93"/>
        <v>20.5550408</v>
      </c>
      <c r="K865" s="1">
        <v>0.53705999999999676</v>
      </c>
      <c r="L865" s="1">
        <f t="shared" si="94"/>
        <v>29.190624269662919</v>
      </c>
      <c r="M865" s="1">
        <v>-211.20902000000001</v>
      </c>
      <c r="N865" s="1">
        <v>-26.565190000000001</v>
      </c>
    </row>
    <row r="866" spans="1:14" x14ac:dyDescent="0.4">
      <c r="B866" s="1">
        <v>43.65</v>
      </c>
      <c r="C866" s="1" t="s">
        <v>877</v>
      </c>
      <c r="D866" s="3">
        <f t="shared" si="96"/>
        <v>1937.3333396999999</v>
      </c>
      <c r="E866" s="1">
        <v>102.4777</v>
      </c>
      <c r="F866" s="1">
        <v>23.2422</v>
      </c>
      <c r="G866" s="1">
        <v>5.4946999999999999</v>
      </c>
      <c r="H866" s="1">
        <v>14.9716</v>
      </c>
      <c r="I866" s="1">
        <v>113.1636</v>
      </c>
      <c r="J866" s="1">
        <f t="shared" si="93"/>
        <v>109.2694474</v>
      </c>
      <c r="K866" s="1">
        <v>1.2748699999999928</v>
      </c>
      <c r="L866" s="1">
        <f t="shared" si="94"/>
        <v>41.09037</v>
      </c>
      <c r="M866" s="1">
        <v>-220.33492000000001</v>
      </c>
      <c r="N866" s="1">
        <v>-27.508849999999999</v>
      </c>
    </row>
    <row r="867" spans="1:14" x14ac:dyDescent="0.4">
      <c r="B867" s="1">
        <v>43.7</v>
      </c>
      <c r="C867" s="1" t="s">
        <v>878</v>
      </c>
      <c r="D867" s="3">
        <f t="shared" si="96"/>
        <v>1937.2222285999999</v>
      </c>
      <c r="E867" s="1">
        <v>106.9815</v>
      </c>
      <c r="F867" s="1">
        <v>12.998799999999999</v>
      </c>
      <c r="G867" s="1">
        <v>5.3380999999999998</v>
      </c>
      <c r="H867" s="1">
        <v>15.036799999999999</v>
      </c>
      <c r="I867" s="1">
        <v>26.994900000000001</v>
      </c>
      <c r="J867" s="1">
        <f t="shared" si="93"/>
        <v>22.929603</v>
      </c>
      <c r="K867" s="1">
        <v>1.1099700000000041</v>
      </c>
      <c r="L867" s="1">
        <f t="shared" si="94"/>
        <v>94.099700561797746</v>
      </c>
      <c r="M867" s="1">
        <v>-232.58144999999999</v>
      </c>
      <c r="N867" s="1">
        <v>-29.05714</v>
      </c>
    </row>
    <row r="868" spans="1:14" x14ac:dyDescent="0.4">
      <c r="B868" s="1">
        <v>43.75</v>
      </c>
      <c r="C868" s="1" t="s">
        <v>879</v>
      </c>
      <c r="D868" s="3">
        <f t="shared" si="96"/>
        <v>1937.1111174999999</v>
      </c>
      <c r="E868" s="1">
        <v>16.492799999999999</v>
      </c>
      <c r="F868" s="1">
        <v>26.415600000000001</v>
      </c>
      <c r="G868" s="1">
        <v>2.4910000000000001</v>
      </c>
      <c r="H868" s="1">
        <v>4.9280999999999997</v>
      </c>
      <c r="I868" s="1">
        <v>71.7624</v>
      </c>
      <c r="J868" s="1">
        <f t="shared" si="93"/>
        <v>71.135673600000004</v>
      </c>
      <c r="K868" s="1">
        <v>1.3125</v>
      </c>
      <c r="L868" s="1">
        <f t="shared" si="94"/>
        <v>-23.471061573033712</v>
      </c>
      <c r="M868" s="1">
        <v>-244.21215000000001</v>
      </c>
      <c r="N868" s="1">
        <v>-30.421489999999999</v>
      </c>
    </row>
    <row r="869" spans="1:14" x14ac:dyDescent="0.4">
      <c r="A869" s="1">
        <v>1937</v>
      </c>
      <c r="B869" s="1">
        <v>43.8</v>
      </c>
      <c r="C869" s="1" t="s">
        <v>880</v>
      </c>
      <c r="D869" s="3">
        <f>-1.052632*B869+1983.105263</f>
        <v>1936.9999814</v>
      </c>
      <c r="E869" s="1">
        <v>26.9148</v>
      </c>
      <c r="F869" s="1">
        <v>12.0139</v>
      </c>
      <c r="G869" s="1">
        <v>6.3894000000000002</v>
      </c>
      <c r="H869" s="1">
        <v>6.3243</v>
      </c>
      <c r="I869" s="1">
        <v>35.382300000000001</v>
      </c>
      <c r="J869" s="1">
        <f t="shared" si="93"/>
        <v>34.359537600000003</v>
      </c>
      <c r="K869" s="1">
        <v>-0.26412000000001967</v>
      </c>
      <c r="L869" s="1">
        <f t="shared" si="94"/>
        <v>7.611688988764044</v>
      </c>
      <c r="M869" s="1">
        <v>-259.03384</v>
      </c>
      <c r="N869" s="1">
        <v>-32.003839999999997</v>
      </c>
    </row>
    <row r="870" spans="1:14" x14ac:dyDescent="0.4">
      <c r="B870" s="1">
        <v>43.85</v>
      </c>
      <c r="C870" s="1" t="s">
        <v>881</v>
      </c>
      <c r="D870" s="3">
        <f t="shared" ref="D870:D886" si="97">-1.052632*B870+1983.105263</f>
        <v>1936.9473498</v>
      </c>
      <c r="E870" s="1">
        <v>24.129200000000001</v>
      </c>
      <c r="F870" s="1">
        <v>5.4054000000000002</v>
      </c>
      <c r="G870" s="1">
        <v>6.2973999999999997</v>
      </c>
      <c r="H870" s="1">
        <v>14.7059</v>
      </c>
      <c r="I870" s="1">
        <v>137.2208</v>
      </c>
      <c r="J870" s="1">
        <f t="shared" si="93"/>
        <v>136.3038904</v>
      </c>
      <c r="K870" s="1">
        <v>-0.12432999999998628</v>
      </c>
      <c r="L870" s="1">
        <f t="shared" si="94"/>
        <v>-52.446019325842698</v>
      </c>
      <c r="M870" s="1">
        <v>-260.08064000000002</v>
      </c>
      <c r="N870" s="1">
        <v>-32.362439999999999</v>
      </c>
    </row>
    <row r="871" spans="1:14" x14ac:dyDescent="0.4">
      <c r="B871" s="1">
        <v>43.9</v>
      </c>
      <c r="C871" s="1" t="s">
        <v>882</v>
      </c>
      <c r="D871" s="3">
        <f t="shared" si="97"/>
        <v>1936.8947181999999</v>
      </c>
      <c r="E871" s="1">
        <v>42.296999999999997</v>
      </c>
      <c r="F871" s="1">
        <v>12.020300000000001</v>
      </c>
      <c r="G871" s="1">
        <v>3.5676999999999999</v>
      </c>
      <c r="H871" s="1">
        <v>7.6600999999999999</v>
      </c>
      <c r="I871" s="1">
        <v>27.645600000000002</v>
      </c>
      <c r="J871" s="1">
        <f t="shared" si="93"/>
        <v>26.038314000000003</v>
      </c>
      <c r="K871" s="1">
        <v>-0.84023000000001957</v>
      </c>
      <c r="L871" s="1">
        <f t="shared" si="94"/>
        <v>27.668733707865165</v>
      </c>
      <c r="N871" s="1">
        <v>-32.147790000000001</v>
      </c>
    </row>
    <row r="872" spans="1:14" x14ac:dyDescent="0.4">
      <c r="B872" s="1">
        <v>43.95</v>
      </c>
      <c r="C872" s="1" t="s">
        <v>883</v>
      </c>
      <c r="D872" s="3">
        <f t="shared" si="97"/>
        <v>1936.8420865999999</v>
      </c>
      <c r="E872" s="1">
        <v>21.6921</v>
      </c>
      <c r="F872" s="1">
        <v>9.2195999999999998</v>
      </c>
      <c r="G872" s="1">
        <v>3.2071999999999998</v>
      </c>
      <c r="H872" s="1">
        <v>2.2723</v>
      </c>
      <c r="I872" s="1">
        <v>118.4482</v>
      </c>
      <c r="J872" s="1">
        <f t="shared" si="93"/>
        <v>117.62390019999999</v>
      </c>
      <c r="K872" s="1">
        <v>-3.003120000000024</v>
      </c>
      <c r="L872" s="1">
        <f t="shared" si="94"/>
        <v>-44.388742808988766</v>
      </c>
      <c r="M872" s="1">
        <v>-240.1927</v>
      </c>
      <c r="N872" s="1">
        <v>-30.416869999999999</v>
      </c>
    </row>
    <row r="873" spans="1:14" x14ac:dyDescent="0.4">
      <c r="B873" s="1">
        <v>44</v>
      </c>
      <c r="C873" s="1" t="s">
        <v>884</v>
      </c>
      <c r="D873" s="3">
        <f t="shared" si="97"/>
        <v>1936.7894549999999</v>
      </c>
      <c r="E873" s="1">
        <v>203.6437</v>
      </c>
      <c r="F873" s="1">
        <v>33.466000000000001</v>
      </c>
      <c r="G873" s="1">
        <v>42.754199999999997</v>
      </c>
      <c r="H873" s="1">
        <v>16.383400000000002</v>
      </c>
      <c r="I873" s="1">
        <v>44.928899999999999</v>
      </c>
      <c r="J873" s="1">
        <f t="shared" si="93"/>
        <v>37.190439400000002</v>
      </c>
      <c r="K873" s="1">
        <v>-1.1811200000000213</v>
      </c>
      <c r="L873" s="1">
        <f t="shared" si="94"/>
        <v>182.7501947191011</v>
      </c>
      <c r="M873" s="1">
        <v>-233.00028</v>
      </c>
      <c r="N873" s="1">
        <v>-29.550740000000001</v>
      </c>
    </row>
    <row r="874" spans="1:14" x14ac:dyDescent="0.4">
      <c r="B874" s="1">
        <v>44.05</v>
      </c>
      <c r="C874" s="1" t="s">
        <v>885</v>
      </c>
      <c r="D874" s="3">
        <f t="shared" si="97"/>
        <v>1936.7368233999998</v>
      </c>
      <c r="E874" s="1">
        <v>15.5501</v>
      </c>
      <c r="F874" s="1">
        <v>14.1791</v>
      </c>
      <c r="G874" s="1">
        <v>2.5989</v>
      </c>
      <c r="H874" s="1">
        <v>5.4823000000000004</v>
      </c>
      <c r="I874" s="1">
        <v>99.002600000000001</v>
      </c>
      <c r="J874" s="1">
        <f t="shared" si="93"/>
        <v>98.411696199999994</v>
      </c>
      <c r="L874" s="1">
        <f t="shared" si="94"/>
        <v>-39.737369775280897</v>
      </c>
      <c r="M874" s="1">
        <v>-235.43044</v>
      </c>
      <c r="N874" s="1">
        <v>-29.96303</v>
      </c>
    </row>
    <row r="875" spans="1:14" x14ac:dyDescent="0.4">
      <c r="B875" s="1">
        <v>44.1</v>
      </c>
      <c r="C875" s="1" t="s">
        <v>886</v>
      </c>
      <c r="D875" s="3">
        <f t="shared" si="97"/>
        <v>1936.6841918</v>
      </c>
      <c r="E875" s="1">
        <v>157.95429999999999</v>
      </c>
      <c r="F875" s="1">
        <v>11.3574</v>
      </c>
      <c r="G875" s="1">
        <v>9.8801000000000005</v>
      </c>
      <c r="H875" s="1">
        <v>15.38</v>
      </c>
      <c r="I875" s="1">
        <v>34.814999999999998</v>
      </c>
      <c r="J875" s="1">
        <f t="shared" si="93"/>
        <v>28.812736599999997</v>
      </c>
      <c r="K875" s="1">
        <v>3.1422599999999932</v>
      </c>
      <c r="L875" s="1">
        <f t="shared" si="94"/>
        <v>141.76736932584268</v>
      </c>
      <c r="M875" s="1">
        <v>-244.14062999999999</v>
      </c>
      <c r="N875" s="1">
        <v>-30.895669999999999</v>
      </c>
    </row>
    <row r="876" spans="1:14" x14ac:dyDescent="0.4">
      <c r="B876" s="1">
        <v>44.15</v>
      </c>
      <c r="C876" s="1" t="s">
        <v>887</v>
      </c>
      <c r="D876" s="3">
        <f t="shared" si="97"/>
        <v>1936.6315602</v>
      </c>
      <c r="E876" s="1">
        <v>68.140600000000006</v>
      </c>
      <c r="F876" s="1">
        <v>27.525200000000002</v>
      </c>
      <c r="G876" s="1">
        <v>3.7431999999999999</v>
      </c>
      <c r="H876" s="1">
        <v>20.773599999999998</v>
      </c>
      <c r="I876" s="1">
        <v>101.3818</v>
      </c>
      <c r="J876" s="1">
        <f t="shared" si="93"/>
        <v>98.792457200000001</v>
      </c>
      <c r="K876" s="1">
        <v>3.4056400000000053</v>
      </c>
      <c r="L876" s="1">
        <f t="shared" si="94"/>
        <v>12.639219550561805</v>
      </c>
      <c r="M876" s="1">
        <v>-251.40428</v>
      </c>
      <c r="N876" s="1">
        <v>-31.834959999999999</v>
      </c>
    </row>
    <row r="877" spans="1:14" x14ac:dyDescent="0.4">
      <c r="B877" s="1">
        <v>44.200000000000102</v>
      </c>
      <c r="C877" s="1" t="s">
        <v>888</v>
      </c>
      <c r="D877" s="3">
        <f t="shared" si="97"/>
        <v>1936.5789285999999</v>
      </c>
      <c r="E877" s="1">
        <v>81.066000000000003</v>
      </c>
      <c r="F877" s="1">
        <v>18.901599999999998</v>
      </c>
      <c r="G877" s="1">
        <v>35.238399999999999</v>
      </c>
      <c r="H877" s="1">
        <v>7.6532999999999998</v>
      </c>
      <c r="I877" s="1">
        <v>57.275100000000002</v>
      </c>
      <c r="J877" s="1">
        <f t="shared" si="93"/>
        <v>54.194592</v>
      </c>
      <c r="K877" s="1">
        <v>4.2737999999999943</v>
      </c>
      <c r="L877" s="1">
        <f t="shared" si="94"/>
        <v>50.619600000000005</v>
      </c>
      <c r="M877" s="1">
        <v>-257.58870000000002</v>
      </c>
      <c r="N877" s="1">
        <v>-32.717669999999998</v>
      </c>
    </row>
    <row r="878" spans="1:14" x14ac:dyDescent="0.4">
      <c r="B878" s="1">
        <v>44.250000000000099</v>
      </c>
      <c r="C878" s="1" t="s">
        <v>889</v>
      </c>
      <c r="D878" s="3">
        <f t="shared" si="97"/>
        <v>1936.5262969999999</v>
      </c>
      <c r="E878" s="1">
        <v>15.3965</v>
      </c>
      <c r="F878" s="1">
        <v>26.092700000000001</v>
      </c>
      <c r="G878" s="1">
        <v>1.3698999999999999</v>
      </c>
      <c r="H878" s="1">
        <v>2.4813999999999998</v>
      </c>
      <c r="I878" s="1">
        <v>96.211600000000004</v>
      </c>
      <c r="J878" s="1">
        <f t="shared" si="93"/>
        <v>95.626533000000009</v>
      </c>
      <c r="K878" s="1">
        <v>3.0247300000000052</v>
      </c>
      <c r="L878" s="1">
        <f t="shared" si="94"/>
        <v>-38.326271348314606</v>
      </c>
      <c r="M878" s="1">
        <v>-260.53715</v>
      </c>
      <c r="N878" s="1">
        <v>-33.169280000000001</v>
      </c>
    </row>
    <row r="879" spans="1:14" x14ac:dyDescent="0.4">
      <c r="B879" s="1">
        <v>44.300000000000097</v>
      </c>
      <c r="C879" s="1" t="s">
        <v>890</v>
      </c>
      <c r="D879" s="3">
        <f t="shared" si="97"/>
        <v>1936.4736653999998</v>
      </c>
      <c r="E879" s="1">
        <v>72.695400000000006</v>
      </c>
      <c r="F879" s="1">
        <v>11.025700000000001</v>
      </c>
      <c r="G879" s="1">
        <v>10.0832</v>
      </c>
      <c r="H879" s="1">
        <v>9.3772000000000002</v>
      </c>
      <c r="I879" s="1">
        <v>29.8079</v>
      </c>
      <c r="J879" s="1">
        <f t="shared" si="93"/>
        <v>27.045474800000001</v>
      </c>
      <c r="K879" s="1">
        <v>3.2753999999999905</v>
      </c>
      <c r="L879" s="1">
        <f t="shared" si="94"/>
        <v>57.501313033707874</v>
      </c>
      <c r="M879" s="1">
        <v>-261.69985000000003</v>
      </c>
      <c r="N879" s="1">
        <v>-33.350920000000002</v>
      </c>
    </row>
    <row r="880" spans="1:14" x14ac:dyDescent="0.4">
      <c r="B880" s="1">
        <v>44.350000000000101</v>
      </c>
      <c r="C880" s="1" t="s">
        <v>891</v>
      </c>
      <c r="D880" s="3">
        <f t="shared" si="97"/>
        <v>1936.4210337999998</v>
      </c>
      <c r="E880" s="1">
        <v>35.271900000000002</v>
      </c>
      <c r="F880" s="1">
        <v>8.8610000000000007</v>
      </c>
      <c r="G880" s="1">
        <v>4.0239000000000003</v>
      </c>
      <c r="H880" s="1">
        <v>6.2903000000000002</v>
      </c>
      <c r="I880" s="1">
        <v>103.3502</v>
      </c>
      <c r="J880" s="1">
        <f t="shared" si="93"/>
        <v>102.00986779999999</v>
      </c>
      <c r="K880" s="1">
        <v>4.1526599999999689</v>
      </c>
      <c r="L880" s="1">
        <f t="shared" si="94"/>
        <v>-22.037014494382014</v>
      </c>
      <c r="M880" s="1">
        <v>-261.63306999999998</v>
      </c>
      <c r="N880" s="1">
        <v>-33.36994</v>
      </c>
    </row>
    <row r="881" spans="1:14" x14ac:dyDescent="0.4">
      <c r="B881" s="1">
        <v>44.400000000000098</v>
      </c>
      <c r="C881" s="1" t="s">
        <v>892</v>
      </c>
      <c r="D881" s="3">
        <f t="shared" si="97"/>
        <v>1936.3684021999998</v>
      </c>
      <c r="E881" s="1">
        <v>40.256900000000002</v>
      </c>
      <c r="F881" s="1">
        <v>15.918799999999999</v>
      </c>
      <c r="G881" s="1">
        <v>6.8460000000000001</v>
      </c>
      <c r="H881" s="1">
        <v>8.0126000000000008</v>
      </c>
      <c r="I881" s="1">
        <v>28.459099999999999</v>
      </c>
      <c r="J881" s="1">
        <f t="shared" si="93"/>
        <v>26.929337799999999</v>
      </c>
      <c r="K881" s="1">
        <v>4.8170900000000074</v>
      </c>
      <c r="L881" s="1">
        <f t="shared" si="94"/>
        <v>25.128058539325846</v>
      </c>
      <c r="M881" s="1">
        <v>-261.39366999999999</v>
      </c>
      <c r="N881" s="1">
        <v>-33.270829999999997</v>
      </c>
    </row>
    <row r="882" spans="1:14" x14ac:dyDescent="0.4">
      <c r="B882" s="1">
        <v>44.500000000000099</v>
      </c>
      <c r="C882" s="1" t="s">
        <v>893</v>
      </c>
      <c r="D882" s="3">
        <f t="shared" si="97"/>
        <v>1936.2631389999999</v>
      </c>
      <c r="E882" s="1">
        <v>151.9631</v>
      </c>
      <c r="F882" s="1">
        <v>11.2014</v>
      </c>
      <c r="G882" s="1">
        <v>11.4977</v>
      </c>
      <c r="H882" s="1">
        <v>12.102399999999999</v>
      </c>
      <c r="I882" s="1">
        <v>22.790600000000001</v>
      </c>
      <c r="J882" s="1">
        <f t="shared" si="93"/>
        <v>17.016002200000003</v>
      </c>
      <c r="K882" s="1">
        <v>5.1075099999999907</v>
      </c>
      <c r="L882" s="1">
        <f t="shared" si="94"/>
        <v>142.40354820224718</v>
      </c>
      <c r="M882" s="1">
        <v>-262.93743000000001</v>
      </c>
      <c r="N882" s="1">
        <v>-33.416910000000001</v>
      </c>
    </row>
    <row r="883" spans="1:14" x14ac:dyDescent="0.4">
      <c r="B883" s="1">
        <v>44.550000000000097</v>
      </c>
      <c r="C883" s="1" t="s">
        <v>894</v>
      </c>
      <c r="D883" s="3">
        <f t="shared" si="97"/>
        <v>1936.2105073999999</v>
      </c>
      <c r="E883" s="1">
        <v>31.400300000000001</v>
      </c>
      <c r="F883" s="1">
        <v>12.9819</v>
      </c>
      <c r="G883" s="1">
        <v>2.1869999999999998</v>
      </c>
      <c r="H883" s="1">
        <v>6.3102</v>
      </c>
      <c r="I883" s="1">
        <v>53.892800000000001</v>
      </c>
      <c r="J883" s="1">
        <f t="shared" si="93"/>
        <v>52.699588599999998</v>
      </c>
      <c r="K883" s="1">
        <v>5.3264500000000226</v>
      </c>
      <c r="L883" s="1">
        <f t="shared" si="94"/>
        <v>1.7937895505618009</v>
      </c>
      <c r="M883" s="1">
        <v>-263.44141999999999</v>
      </c>
      <c r="N883" s="1">
        <v>-33.426459999999999</v>
      </c>
    </row>
    <row r="884" spans="1:14" x14ac:dyDescent="0.4">
      <c r="B884" s="1">
        <v>44.600000000000101</v>
      </c>
      <c r="C884" s="1" t="s">
        <v>895</v>
      </c>
      <c r="D884" s="3">
        <f t="shared" si="97"/>
        <v>1936.1578757999998</v>
      </c>
      <c r="E884" s="1">
        <v>13.791</v>
      </c>
      <c r="F884" s="1">
        <v>5.1131000000000002</v>
      </c>
      <c r="G884" s="1">
        <v>2.2399</v>
      </c>
      <c r="H884" s="1">
        <v>9.5248000000000008</v>
      </c>
      <c r="I884" s="1">
        <v>29.354900000000001</v>
      </c>
      <c r="J884" s="1">
        <f t="shared" si="93"/>
        <v>28.830842000000001</v>
      </c>
      <c r="K884" s="1">
        <v>4.7729699999999866</v>
      </c>
      <c r="L884" s="1">
        <f t="shared" si="94"/>
        <v>-2.4061022471910114</v>
      </c>
      <c r="M884" s="1">
        <v>-261.15753999999998</v>
      </c>
      <c r="N884" s="1">
        <v>-33.255090000000003</v>
      </c>
    </row>
    <row r="885" spans="1:14" x14ac:dyDescent="0.4">
      <c r="B885" s="1">
        <v>44.650000000000098</v>
      </c>
      <c r="C885" s="1" t="s">
        <v>896</v>
      </c>
      <c r="D885" s="3">
        <f t="shared" si="97"/>
        <v>1936.1052441999998</v>
      </c>
      <c r="E885" s="1">
        <v>44.582700000000003</v>
      </c>
      <c r="F885" s="1">
        <v>7.1223000000000001</v>
      </c>
      <c r="G885" s="1">
        <v>3.1659999999999999</v>
      </c>
      <c r="H885" s="1">
        <v>5.3921999999999999</v>
      </c>
      <c r="I885" s="1">
        <v>78.042500000000004</v>
      </c>
      <c r="J885" s="1">
        <f t="shared" si="93"/>
        <v>76.348357399999998</v>
      </c>
      <c r="K885" s="1">
        <v>4.3978500000000054</v>
      </c>
      <c r="L885" s="1">
        <f t="shared" si="94"/>
        <v>1.6903643820224801</v>
      </c>
      <c r="M885" s="1">
        <v>-259.97476999999998</v>
      </c>
      <c r="N885" s="1">
        <v>-32.937240000000003</v>
      </c>
    </row>
    <row r="886" spans="1:14" x14ac:dyDescent="0.4">
      <c r="B886" s="1">
        <v>44.700000000000102</v>
      </c>
      <c r="C886" s="1" t="s">
        <v>897</v>
      </c>
      <c r="D886" s="3">
        <f t="shared" si="97"/>
        <v>1936.0526125999997</v>
      </c>
      <c r="E886" s="1">
        <v>39.034300000000002</v>
      </c>
      <c r="F886" s="1">
        <v>3.7871000000000001</v>
      </c>
      <c r="G886" s="1">
        <v>2.2654000000000001</v>
      </c>
      <c r="H886" s="1">
        <v>8.9382999999999999</v>
      </c>
      <c r="I886" s="1">
        <v>36.2851</v>
      </c>
      <c r="J886" s="1">
        <f t="shared" si="93"/>
        <v>34.801796600000003</v>
      </c>
      <c r="K886" s="1">
        <v>3.9702599999999961</v>
      </c>
      <c r="L886" s="1">
        <f t="shared" si="94"/>
        <v>19.482728876404494</v>
      </c>
      <c r="M886" s="1">
        <v>-258.39771000000002</v>
      </c>
      <c r="N886" s="1">
        <v>-32.745040000000003</v>
      </c>
    </row>
    <row r="887" spans="1:14" x14ac:dyDescent="0.4">
      <c r="A887" s="1">
        <v>1936</v>
      </c>
      <c r="B887" s="1">
        <v>44.750000000000099</v>
      </c>
      <c r="C887" s="1" t="s">
        <v>898</v>
      </c>
      <c r="D887" s="3">
        <f>-4*B887+2115</f>
        <v>1935.9999999999995</v>
      </c>
      <c r="E887" s="1">
        <v>10.4876</v>
      </c>
      <c r="F887" s="1">
        <v>13.0162</v>
      </c>
      <c r="G887" s="1">
        <v>2.0968</v>
      </c>
      <c r="H887" s="1">
        <v>2.0971000000000002</v>
      </c>
      <c r="I887" s="1">
        <v>83.891400000000004</v>
      </c>
      <c r="J887" s="1">
        <f t="shared" si="93"/>
        <v>83.49287120000001</v>
      </c>
      <c r="K887" s="1">
        <v>4.8831800000000385</v>
      </c>
      <c r="L887" s="1">
        <f t="shared" si="94"/>
        <v>-36.418507415730339</v>
      </c>
      <c r="M887" s="1">
        <v>-254.35647</v>
      </c>
      <c r="N887" s="1">
        <v>-32.145119999999999</v>
      </c>
    </row>
    <row r="888" spans="1:14" x14ac:dyDescent="0.4">
      <c r="B888" s="1">
        <v>44.800000000000097</v>
      </c>
      <c r="C888" s="1" t="s">
        <v>899</v>
      </c>
      <c r="D888" s="3">
        <f>-4*B888+2115</f>
        <v>1935.7999999999997</v>
      </c>
      <c r="E888" s="1">
        <v>30.071100000000001</v>
      </c>
      <c r="F888" s="1">
        <v>7.3918999999999997</v>
      </c>
      <c r="G888" s="1">
        <v>3.3104</v>
      </c>
      <c r="H888" s="1">
        <v>3.0465</v>
      </c>
      <c r="I888" s="1">
        <v>27.168199999999999</v>
      </c>
      <c r="J888" s="1">
        <f t="shared" si="93"/>
        <v>26.025498199999998</v>
      </c>
      <c r="K888" s="1">
        <v>3.5231500000000437</v>
      </c>
      <c r="L888" s="1">
        <f t="shared" si="94"/>
        <v>15.450033595505621</v>
      </c>
      <c r="M888" s="1">
        <v>-242.02113</v>
      </c>
      <c r="N888" s="1">
        <v>-30.958120000000001</v>
      </c>
    </row>
    <row r="889" spans="1:14" x14ac:dyDescent="0.4">
      <c r="B889" s="1">
        <v>44.850000000000101</v>
      </c>
      <c r="C889" s="1" t="s">
        <v>900</v>
      </c>
      <c r="D889" s="3">
        <f>-4*B889+2115</f>
        <v>1935.5999999999997</v>
      </c>
      <c r="E889" s="1">
        <v>14.464700000000001</v>
      </c>
      <c r="F889" s="1">
        <v>17.602900000000002</v>
      </c>
      <c r="G889" s="1">
        <v>1.5456000000000001</v>
      </c>
      <c r="H889" s="1">
        <v>1.4067000000000001</v>
      </c>
      <c r="I889" s="1">
        <v>59.915999999999997</v>
      </c>
      <c r="J889" s="1">
        <f t="shared" si="93"/>
        <v>59.366341399999996</v>
      </c>
      <c r="K889" s="1">
        <v>3.5626100000000065</v>
      </c>
      <c r="L889" s="1">
        <f t="shared" si="94"/>
        <v>-18.887177191011233</v>
      </c>
      <c r="M889" s="1">
        <v>-237.05468999999999</v>
      </c>
      <c r="N889" s="1">
        <v>-30.18449</v>
      </c>
    </row>
    <row r="890" spans="1:14" x14ac:dyDescent="0.4">
      <c r="B890" s="1">
        <v>44.900000000000098</v>
      </c>
      <c r="C890" s="1" t="s">
        <v>901</v>
      </c>
      <c r="D890" s="3">
        <f>-4*B890+2115</f>
        <v>1935.3999999999996</v>
      </c>
      <c r="E890" s="1">
        <v>60.475200000000001</v>
      </c>
      <c r="F890" s="1">
        <v>10.3345</v>
      </c>
      <c r="G890" s="1">
        <v>4.7140000000000004</v>
      </c>
      <c r="H890" s="1">
        <v>19.0044</v>
      </c>
      <c r="I890" s="1">
        <v>48.829599999999999</v>
      </c>
      <c r="J890" s="1">
        <f t="shared" si="93"/>
        <v>46.531542399999999</v>
      </c>
      <c r="K890" s="1">
        <v>2.804489999999987</v>
      </c>
      <c r="L890" s="1">
        <f t="shared" si="94"/>
        <v>34.333884044943822</v>
      </c>
      <c r="M890" s="1">
        <v>-232.08718999999999</v>
      </c>
      <c r="N890" s="1">
        <v>-29.49624</v>
      </c>
    </row>
    <row r="891" spans="1:14" x14ac:dyDescent="0.4">
      <c r="B891" s="1">
        <v>44.950000000000102</v>
      </c>
      <c r="C891" s="1" t="s">
        <v>902</v>
      </c>
      <c r="D891" s="3">
        <f>-4*B891+2115</f>
        <v>1935.1999999999996</v>
      </c>
      <c r="E891" s="1">
        <v>5.5404999999999998</v>
      </c>
      <c r="F891" s="1">
        <v>4.1833999999999998</v>
      </c>
      <c r="G891" s="1">
        <v>1.3955</v>
      </c>
      <c r="H891" s="1">
        <v>2.6932999999999998</v>
      </c>
      <c r="I891" s="1">
        <v>57.694000000000003</v>
      </c>
      <c r="J891" s="1">
        <f t="shared" si="93"/>
        <v>57.483461000000005</v>
      </c>
      <c r="K891" s="1">
        <v>5.6438300000000083</v>
      </c>
      <c r="L891" s="1">
        <f t="shared" si="94"/>
        <v>-26.75357921348315</v>
      </c>
      <c r="N891" s="1">
        <v>-28.52919</v>
      </c>
    </row>
    <row r="892" spans="1:14" x14ac:dyDescent="0.4">
      <c r="A892" s="1">
        <v>1935</v>
      </c>
      <c r="B892" s="1">
        <v>45.000000000000099</v>
      </c>
      <c r="C892" s="1" t="s">
        <v>903</v>
      </c>
      <c r="D892" s="3">
        <f>-1.428571*B892+1999.285714</f>
        <v>1935.0000190000001</v>
      </c>
      <c r="E892" s="1">
        <v>32.127499999999998</v>
      </c>
      <c r="F892" s="1">
        <v>7.4546999999999999</v>
      </c>
      <c r="G892" s="1">
        <v>1.1135999999999999</v>
      </c>
      <c r="H892" s="1">
        <v>5.6680000000000001</v>
      </c>
      <c r="I892" s="1">
        <v>30.2836</v>
      </c>
      <c r="J892" s="1">
        <f t="shared" si="93"/>
        <v>29.062754999999999</v>
      </c>
      <c r="K892" s="1">
        <v>4.4212300000000084</v>
      </c>
      <c r="L892" s="1">
        <f t="shared" si="94"/>
        <v>15.800109550561796</v>
      </c>
      <c r="N892" s="1">
        <v>-28.511649999999999</v>
      </c>
    </row>
    <row r="893" spans="1:14" x14ac:dyDescent="0.4">
      <c r="B893" s="1">
        <v>45.050000000000097</v>
      </c>
      <c r="C893" s="1" t="s">
        <v>904</v>
      </c>
      <c r="D893" s="3">
        <f t="shared" ref="D893:D905" si="98">-1.428571*B893+1999.285714</f>
        <v>1934.92859045</v>
      </c>
      <c r="E893" s="1">
        <v>11.416499999999999</v>
      </c>
      <c r="F893" s="1">
        <v>24.317399999999999</v>
      </c>
      <c r="G893" s="1">
        <v>1.8306</v>
      </c>
      <c r="H893" s="1">
        <v>4.0152999999999999</v>
      </c>
      <c r="I893" s="1">
        <v>63.043300000000002</v>
      </c>
      <c r="J893" s="1">
        <f t="shared" si="93"/>
        <v>62.609473000000001</v>
      </c>
      <c r="K893" s="1">
        <v>3.8827300000000093</v>
      </c>
      <c r="L893" s="1">
        <f t="shared" si="94"/>
        <v>-23.757361235955059</v>
      </c>
      <c r="M893" s="1">
        <v>-236.72803999999999</v>
      </c>
      <c r="N893" s="1">
        <v>-29.824470000000002</v>
      </c>
    </row>
    <row r="894" spans="1:14" x14ac:dyDescent="0.4">
      <c r="B894" s="1">
        <v>45.100000000000101</v>
      </c>
      <c r="C894" s="1" t="s">
        <v>905</v>
      </c>
      <c r="D894" s="3">
        <f t="shared" si="98"/>
        <v>1934.8571618999999</v>
      </c>
      <c r="E894" s="1">
        <v>30.793500000000002</v>
      </c>
      <c r="F894" s="1">
        <v>10.6692</v>
      </c>
      <c r="G894" s="1">
        <v>2.3875999999999999</v>
      </c>
      <c r="H894" s="1">
        <v>3.6951000000000001</v>
      </c>
      <c r="I894" s="1">
        <v>34.857700000000001</v>
      </c>
      <c r="J894" s="1">
        <f t="shared" si="93"/>
        <v>33.687547000000002</v>
      </c>
      <c r="L894" s="1">
        <f t="shared" si="94"/>
        <v>11.867911797752811</v>
      </c>
      <c r="M894" s="1">
        <v>-255.63130000000001</v>
      </c>
      <c r="N894" s="1">
        <v>-32.522410000000001</v>
      </c>
    </row>
    <row r="895" spans="1:14" x14ac:dyDescent="0.4">
      <c r="B895" s="1">
        <v>45.150000000000098</v>
      </c>
      <c r="C895" s="1" t="s">
        <v>906</v>
      </c>
      <c r="D895" s="3">
        <f t="shared" si="98"/>
        <v>1934.7857333499999</v>
      </c>
      <c r="E895" s="1">
        <v>15.720599999999999</v>
      </c>
      <c r="F895" s="1">
        <v>4.2260999999999997</v>
      </c>
      <c r="G895" s="1">
        <v>2.2543000000000002</v>
      </c>
      <c r="H895" s="1">
        <v>2.7206000000000001</v>
      </c>
      <c r="I895" s="1">
        <v>98.602999999999994</v>
      </c>
      <c r="J895" s="1">
        <f t="shared" si="93"/>
        <v>98.005617199999989</v>
      </c>
      <c r="L895" s="1">
        <f t="shared" si="94"/>
        <v>-39.338735505617976</v>
      </c>
      <c r="M895" s="1">
        <v>-255.89934</v>
      </c>
      <c r="N895" s="1">
        <v>-32.697130000000001</v>
      </c>
    </row>
    <row r="896" spans="1:14" x14ac:dyDescent="0.4">
      <c r="B896" s="1">
        <v>45.200000000000102</v>
      </c>
      <c r="C896" s="1" t="s">
        <v>907</v>
      </c>
      <c r="D896" s="3">
        <f t="shared" si="98"/>
        <v>1934.7143048</v>
      </c>
      <c r="E896" s="1">
        <v>94.77</v>
      </c>
      <c r="F896" s="1">
        <v>10.904299999999999</v>
      </c>
      <c r="G896" s="1">
        <v>4.2934000000000001</v>
      </c>
      <c r="H896" s="1">
        <v>10.0967</v>
      </c>
      <c r="I896" s="1">
        <v>30.8627</v>
      </c>
      <c r="J896" s="1">
        <f t="shared" si="93"/>
        <v>27.26144</v>
      </c>
      <c r="K896" s="1">
        <v>1.8677200000000198</v>
      </c>
      <c r="L896" s="1">
        <f t="shared" si="94"/>
        <v>79.454584269662917</v>
      </c>
      <c r="M896" s="1">
        <v>-257.84825000000001</v>
      </c>
      <c r="N896" s="1">
        <v>-32.762450000000001</v>
      </c>
    </row>
    <row r="897" spans="1:14" x14ac:dyDescent="0.4">
      <c r="B897" s="1">
        <v>45.250000000000099</v>
      </c>
      <c r="C897" s="1" t="s">
        <v>908</v>
      </c>
      <c r="D897" s="3">
        <f t="shared" si="98"/>
        <v>1934.64287625</v>
      </c>
      <c r="E897" s="1">
        <v>64.066900000000004</v>
      </c>
      <c r="F897" s="1">
        <v>23.2194</v>
      </c>
      <c r="G897" s="1">
        <v>4.9516</v>
      </c>
      <c r="H897" s="1">
        <v>14.0708</v>
      </c>
      <c r="I897" s="1">
        <v>78.839600000000004</v>
      </c>
      <c r="J897" s="1">
        <f t="shared" si="93"/>
        <v>76.405057800000009</v>
      </c>
      <c r="K897" s="1">
        <v>4.5479799999999955</v>
      </c>
      <c r="L897" s="1">
        <f t="shared" si="94"/>
        <v>21.142710224719103</v>
      </c>
      <c r="M897" s="1">
        <v>-252.27325999999999</v>
      </c>
      <c r="N897" s="1">
        <v>-29.46068</v>
      </c>
    </row>
    <row r="898" spans="1:14" x14ac:dyDescent="0.4">
      <c r="B898" s="1">
        <v>45.300000000000097</v>
      </c>
      <c r="C898" s="1" t="s">
        <v>909</v>
      </c>
      <c r="D898" s="3">
        <f t="shared" si="98"/>
        <v>1934.5714476999999</v>
      </c>
      <c r="E898" s="1">
        <v>121.9451</v>
      </c>
      <c r="F898" s="1">
        <v>10.920500000000001</v>
      </c>
      <c r="G898" s="1">
        <v>8.8094999999999999</v>
      </c>
      <c r="H898" s="1">
        <v>14.484</v>
      </c>
      <c r="I898" s="1">
        <v>34.613500000000002</v>
      </c>
      <c r="J898" s="1">
        <f t="shared" si="93"/>
        <v>29.9795862</v>
      </c>
      <c r="K898" s="1">
        <v>5.6777000000000157</v>
      </c>
      <c r="L898" s="1">
        <f t="shared" si="94"/>
        <v>105.10263584269663</v>
      </c>
      <c r="M898" s="1">
        <v>-250.85075000000001</v>
      </c>
      <c r="N898" s="1">
        <v>-32.121549999999999</v>
      </c>
    </row>
    <row r="899" spans="1:14" x14ac:dyDescent="0.4">
      <c r="B899" s="1">
        <v>45.350000000000101</v>
      </c>
      <c r="C899" s="1" t="s">
        <v>910</v>
      </c>
      <c r="D899" s="3">
        <f t="shared" si="98"/>
        <v>1934.5000191499998</v>
      </c>
      <c r="E899" s="1">
        <v>53.916200000000003</v>
      </c>
      <c r="F899" s="1">
        <v>83.564999999999998</v>
      </c>
      <c r="G899" s="1">
        <v>11.2234</v>
      </c>
      <c r="H899" s="1">
        <v>10.2203</v>
      </c>
      <c r="I899" s="1">
        <v>72.103499999999997</v>
      </c>
      <c r="J899" s="1">
        <f t="shared" ref="J899:J962" si="99">I899-0.038*E899</f>
        <v>70.054684399999999</v>
      </c>
      <c r="K899" s="1">
        <v>4.2513500000000022</v>
      </c>
      <c r="L899" s="1">
        <f t="shared" ref="L899:L962" si="100">E899-(J899/1.78)</f>
        <v>14.559635730337085</v>
      </c>
      <c r="M899" s="1">
        <v>-249.84081</v>
      </c>
      <c r="N899" s="1">
        <v>-32.051459999999999</v>
      </c>
    </row>
    <row r="900" spans="1:14" x14ac:dyDescent="0.4">
      <c r="B900" s="1">
        <v>45.400000000000098</v>
      </c>
      <c r="C900" s="1" t="s">
        <v>911</v>
      </c>
      <c r="D900" s="3">
        <f t="shared" si="98"/>
        <v>1934.4285906</v>
      </c>
      <c r="E900" s="1">
        <v>33.831699999999998</v>
      </c>
      <c r="F900" s="1">
        <v>8.1661000000000001</v>
      </c>
      <c r="G900" s="1">
        <v>5.2629999999999999</v>
      </c>
      <c r="H900" s="1">
        <v>6.3800999999999997</v>
      </c>
      <c r="I900" s="1">
        <v>35.869</v>
      </c>
      <c r="J900" s="1">
        <f t="shared" si="99"/>
        <v>34.583395400000001</v>
      </c>
      <c r="K900" s="1">
        <v>-16.587819999999994</v>
      </c>
      <c r="L900" s="1">
        <f t="shared" si="100"/>
        <v>14.402826179775278</v>
      </c>
      <c r="M900" s="1">
        <v>-250.90697</v>
      </c>
      <c r="N900" s="1">
        <v>-32.230310000000003</v>
      </c>
    </row>
    <row r="901" spans="1:14" x14ac:dyDescent="0.4">
      <c r="B901" s="1">
        <v>45.450000000000102</v>
      </c>
      <c r="C901" s="1" t="s">
        <v>912</v>
      </c>
      <c r="D901" s="3">
        <f t="shared" si="98"/>
        <v>1934.3571620499999</v>
      </c>
      <c r="E901" s="1">
        <v>24.950700000000001</v>
      </c>
      <c r="F901" s="1">
        <v>49.718800000000002</v>
      </c>
      <c r="G901" s="1">
        <v>11.401300000000001</v>
      </c>
      <c r="H901" s="1">
        <v>7.1519000000000004</v>
      </c>
      <c r="I901" s="1">
        <v>80.5077</v>
      </c>
      <c r="J901" s="1">
        <f t="shared" si="99"/>
        <v>79.559573400000005</v>
      </c>
      <c r="K901" s="1">
        <v>6.1216499999999883</v>
      </c>
      <c r="L901" s="1">
        <f t="shared" si="100"/>
        <v>-19.745689550561796</v>
      </c>
      <c r="M901" s="1">
        <v>-258.55025000000001</v>
      </c>
      <c r="N901" s="1">
        <v>-33.02834</v>
      </c>
    </row>
    <row r="902" spans="1:14" x14ac:dyDescent="0.4">
      <c r="B902" s="1">
        <v>45.500000000000099</v>
      </c>
      <c r="C902" s="1" t="s">
        <v>913</v>
      </c>
      <c r="D902" s="3">
        <f t="shared" si="98"/>
        <v>1934.2857334999999</v>
      </c>
      <c r="E902" s="1">
        <v>24.405999999999999</v>
      </c>
      <c r="F902" s="1">
        <v>6.6322999999999999</v>
      </c>
      <c r="G902" s="1">
        <v>5.0012999999999996</v>
      </c>
      <c r="H902" s="1">
        <v>3.8018000000000001</v>
      </c>
      <c r="I902" s="1">
        <v>46.436</v>
      </c>
      <c r="J902" s="1">
        <f t="shared" si="99"/>
        <v>45.508572000000001</v>
      </c>
      <c r="K902" s="1">
        <v>6.5708699999999851</v>
      </c>
      <c r="L902" s="1">
        <f t="shared" si="100"/>
        <v>-1.1606134831460686</v>
      </c>
      <c r="M902" s="1">
        <v>-260.09357999999997</v>
      </c>
      <c r="N902" s="1">
        <v>-33.240769999999998</v>
      </c>
    </row>
    <row r="903" spans="1:14" x14ac:dyDescent="0.4">
      <c r="B903" s="1">
        <v>45.550000000000097</v>
      </c>
      <c r="C903" s="1" t="s">
        <v>914</v>
      </c>
      <c r="D903" s="3">
        <f t="shared" si="98"/>
        <v>1934.21430495</v>
      </c>
      <c r="E903" s="1">
        <v>109.12739999999999</v>
      </c>
      <c r="F903" s="1">
        <v>54.776400000000002</v>
      </c>
      <c r="G903" s="1">
        <v>17.166399999999999</v>
      </c>
      <c r="H903" s="1">
        <v>17.694400000000002</v>
      </c>
      <c r="I903" s="1">
        <v>79.085800000000006</v>
      </c>
      <c r="J903" s="1">
        <f t="shared" si="99"/>
        <v>74.938958800000009</v>
      </c>
      <c r="K903" s="1">
        <v>6.935510000000022</v>
      </c>
      <c r="L903" s="1">
        <f t="shared" si="100"/>
        <v>67.026861348314597</v>
      </c>
      <c r="M903" s="1">
        <v>-254.93301</v>
      </c>
      <c r="N903" s="1">
        <v>-32.873600000000003</v>
      </c>
    </row>
    <row r="904" spans="1:14" x14ac:dyDescent="0.4">
      <c r="B904" s="1">
        <v>45.600000000000101</v>
      </c>
      <c r="C904" s="1" t="s">
        <v>915</v>
      </c>
      <c r="D904" s="3">
        <f t="shared" si="98"/>
        <v>1934.1428764</v>
      </c>
      <c r="E904" s="1">
        <v>49.877400000000002</v>
      </c>
      <c r="F904" s="1">
        <v>8.6202000000000005</v>
      </c>
      <c r="G904" s="1">
        <v>7.2026000000000003</v>
      </c>
      <c r="H904" s="1">
        <v>7.2938000000000001</v>
      </c>
      <c r="I904" s="1">
        <v>32.4268</v>
      </c>
      <c r="J904" s="1">
        <f t="shared" si="99"/>
        <v>30.531458799999999</v>
      </c>
      <c r="K904" s="1">
        <v>5.6764699999999948</v>
      </c>
      <c r="L904" s="1">
        <f t="shared" si="100"/>
        <v>32.724895056179776</v>
      </c>
      <c r="M904" s="1">
        <v>-246.22881000000001</v>
      </c>
      <c r="N904" s="1">
        <v>-31.84967</v>
      </c>
    </row>
    <row r="905" spans="1:14" x14ac:dyDescent="0.4">
      <c r="B905" s="1">
        <v>45.650000000000098</v>
      </c>
      <c r="C905" s="1" t="s">
        <v>916</v>
      </c>
      <c r="D905" s="3">
        <f t="shared" si="98"/>
        <v>1934.0714478499999</v>
      </c>
      <c r="E905" s="1">
        <v>91.610399999999998</v>
      </c>
      <c r="F905" s="1">
        <v>24.478100000000001</v>
      </c>
      <c r="G905" s="1">
        <v>10.4953</v>
      </c>
      <c r="H905" s="1">
        <v>16.242899999999999</v>
      </c>
      <c r="I905" s="1">
        <v>118.60639999999999</v>
      </c>
      <c r="J905" s="1">
        <f t="shared" si="99"/>
        <v>115.12520479999999</v>
      </c>
      <c r="K905" s="1">
        <v>5.8325800000000072</v>
      </c>
      <c r="L905" s="1">
        <f t="shared" si="100"/>
        <v>26.933318651685397</v>
      </c>
      <c r="M905" s="1">
        <v>-246.25588999999999</v>
      </c>
      <c r="N905" s="1">
        <v>-31.798210000000001</v>
      </c>
    </row>
    <row r="906" spans="1:14" x14ac:dyDescent="0.4">
      <c r="A906" s="1">
        <v>1934</v>
      </c>
      <c r="B906" s="1">
        <v>45.700000000000102</v>
      </c>
      <c r="C906" s="1" t="s">
        <v>917</v>
      </c>
      <c r="D906" s="3">
        <f>-2.5*B906+2048.25</f>
        <v>1933.9999999999998</v>
      </c>
      <c r="E906" s="1">
        <v>39.402299999999997</v>
      </c>
      <c r="F906" s="1">
        <v>14.775600000000001</v>
      </c>
      <c r="G906" s="1">
        <v>3.0164</v>
      </c>
      <c r="H906" s="1">
        <v>7.2183999999999999</v>
      </c>
      <c r="I906" s="1">
        <v>36.327100000000002</v>
      </c>
      <c r="J906" s="1">
        <f t="shared" si="99"/>
        <v>34.829812600000004</v>
      </c>
      <c r="K906" s="1">
        <v>8.0557900000000302</v>
      </c>
      <c r="L906" s="1">
        <f t="shared" si="100"/>
        <v>19.834989550561794</v>
      </c>
      <c r="M906" s="1">
        <v>-247.66404</v>
      </c>
      <c r="N906" s="1">
        <v>-31.788160000000001</v>
      </c>
    </row>
    <row r="907" spans="1:14" x14ac:dyDescent="0.4">
      <c r="B907" s="1">
        <v>45.750000000000099</v>
      </c>
      <c r="C907" s="1" t="s">
        <v>918</v>
      </c>
      <c r="D907" s="3">
        <f t="shared" ref="D907:D913" si="101">-2.5*B907+2048.25</f>
        <v>1933.8749999999998</v>
      </c>
      <c r="E907" s="1">
        <v>81.880099999999999</v>
      </c>
      <c r="F907" s="1">
        <v>49.006</v>
      </c>
      <c r="G907" s="1">
        <v>9.5300999999999991</v>
      </c>
      <c r="H907" s="1">
        <v>18.4269</v>
      </c>
      <c r="I907" s="1">
        <v>79.430899999999994</v>
      </c>
      <c r="J907" s="1">
        <f t="shared" si="99"/>
        <v>76.319456199999991</v>
      </c>
      <c r="K907" s="1">
        <v>8.5685499999999877</v>
      </c>
      <c r="L907" s="1">
        <f t="shared" si="100"/>
        <v>39.004001011235957</v>
      </c>
      <c r="M907" s="1">
        <v>-248.43251000000001</v>
      </c>
      <c r="N907" s="1">
        <v>-31.857859999999999</v>
      </c>
    </row>
    <row r="908" spans="1:14" x14ac:dyDescent="0.4">
      <c r="B908" s="1">
        <v>45.800000000000097</v>
      </c>
      <c r="C908" s="1" t="s">
        <v>919</v>
      </c>
      <c r="D908" s="3">
        <f t="shared" si="101"/>
        <v>1933.7499999999998</v>
      </c>
      <c r="E908" s="1">
        <v>24.985900000000001</v>
      </c>
      <c r="F908" s="1">
        <v>12.411899999999999</v>
      </c>
      <c r="G908" s="1">
        <v>9.1847999999999992</v>
      </c>
      <c r="H908" s="1">
        <v>4.7427999999999999</v>
      </c>
      <c r="I908" s="1">
        <v>67.560100000000006</v>
      </c>
      <c r="J908" s="1">
        <f t="shared" si="99"/>
        <v>66.610635800000011</v>
      </c>
      <c r="K908" s="1">
        <v>8.1297900000000141</v>
      </c>
      <c r="L908" s="1">
        <f t="shared" si="100"/>
        <v>-12.435805505617985</v>
      </c>
      <c r="M908" s="1">
        <v>-248.29703000000001</v>
      </c>
      <c r="N908" s="1">
        <v>-31.967030000000001</v>
      </c>
    </row>
    <row r="909" spans="1:14" x14ac:dyDescent="0.4">
      <c r="B909" s="1">
        <v>45.850000000000101</v>
      </c>
      <c r="C909" s="1" t="s">
        <v>920</v>
      </c>
      <c r="D909" s="3">
        <f t="shared" si="101"/>
        <v>1933.6249999999998</v>
      </c>
      <c r="E909" s="1">
        <v>84.605800000000002</v>
      </c>
      <c r="F909" s="1">
        <v>49.452500000000001</v>
      </c>
      <c r="G909" s="1">
        <v>10.6264</v>
      </c>
      <c r="H909" s="1">
        <v>16.5152</v>
      </c>
      <c r="I909" s="1">
        <v>83.675299999999993</v>
      </c>
      <c r="J909" s="1">
        <f t="shared" si="99"/>
        <v>80.460279599999993</v>
      </c>
      <c r="K909" s="1">
        <v>6.6412400000000105</v>
      </c>
      <c r="L909" s="1">
        <f t="shared" si="100"/>
        <v>39.403395730337088</v>
      </c>
      <c r="M909" s="1">
        <v>-240.53129000000001</v>
      </c>
      <c r="N909" s="1">
        <v>-31.04599</v>
      </c>
    </row>
    <row r="910" spans="1:14" x14ac:dyDescent="0.4">
      <c r="B910" s="1">
        <v>45.9</v>
      </c>
      <c r="C910" s="1" t="s">
        <v>921</v>
      </c>
      <c r="D910" s="3">
        <f t="shared" si="101"/>
        <v>1933.5</v>
      </c>
      <c r="E910" s="1">
        <v>83.460099999999997</v>
      </c>
      <c r="F910" s="1">
        <v>13.3834</v>
      </c>
      <c r="G910" s="1">
        <v>8.6311</v>
      </c>
      <c r="H910" s="1">
        <v>8.0822000000000003</v>
      </c>
      <c r="I910" s="1">
        <v>53.213000000000001</v>
      </c>
      <c r="J910" s="1">
        <f t="shared" si="99"/>
        <v>50.041516200000004</v>
      </c>
      <c r="K910" s="1">
        <v>6.4303699999999822</v>
      </c>
      <c r="L910" s="1">
        <f t="shared" si="100"/>
        <v>55.34688865168539</v>
      </c>
      <c r="M910" s="1">
        <v>-232.55026000000001</v>
      </c>
      <c r="N910" s="1">
        <v>-30.26811</v>
      </c>
    </row>
    <row r="911" spans="1:14" x14ac:dyDescent="0.4">
      <c r="B911" s="1">
        <v>45.95</v>
      </c>
      <c r="C911" s="1" t="s">
        <v>922</v>
      </c>
      <c r="D911" s="3">
        <f t="shared" si="101"/>
        <v>1933.375</v>
      </c>
      <c r="E911" s="1">
        <v>34.387099999999997</v>
      </c>
      <c r="F911" s="1">
        <v>41.531100000000002</v>
      </c>
      <c r="G911" s="1">
        <v>6.5061999999999998</v>
      </c>
      <c r="H911" s="1">
        <v>8.2562999999999995</v>
      </c>
      <c r="I911" s="1">
        <v>78.225700000000003</v>
      </c>
      <c r="J911" s="1">
        <f t="shared" si="99"/>
        <v>76.91899020000001</v>
      </c>
      <c r="K911" s="1">
        <v>7.4392100000000028</v>
      </c>
      <c r="L911" s="1">
        <f t="shared" si="100"/>
        <v>-8.8258158426966347</v>
      </c>
      <c r="M911" s="1">
        <v>-230.71455</v>
      </c>
      <c r="N911" s="1">
        <v>-30.0242</v>
      </c>
    </row>
    <row r="912" spans="1:14" x14ac:dyDescent="0.4">
      <c r="B912" s="1">
        <v>46</v>
      </c>
      <c r="C912" s="1" t="s">
        <v>923</v>
      </c>
      <c r="D912" s="3">
        <f t="shared" si="101"/>
        <v>1933.25</v>
      </c>
      <c r="E912" s="1">
        <v>62.009799999999998</v>
      </c>
      <c r="F912" s="1">
        <v>9.4981000000000009</v>
      </c>
      <c r="G912" s="1">
        <v>12.6205</v>
      </c>
      <c r="H912" s="1">
        <v>4.4661999999999997</v>
      </c>
      <c r="I912" s="1">
        <v>33.201099999999997</v>
      </c>
      <c r="J912" s="1">
        <f t="shared" si="99"/>
        <v>30.844727599999999</v>
      </c>
      <c r="K912" s="1">
        <v>7.8366299999999853</v>
      </c>
      <c r="L912" s="1">
        <f t="shared" si="100"/>
        <v>44.681301348314605</v>
      </c>
      <c r="M912" s="1">
        <v>-243.7697</v>
      </c>
      <c r="N912" s="1">
        <v>-31.53078</v>
      </c>
    </row>
    <row r="913" spans="1:14" x14ac:dyDescent="0.4">
      <c r="B913" s="1">
        <v>46.05</v>
      </c>
      <c r="C913" s="1" t="s">
        <v>924</v>
      </c>
      <c r="D913" s="3">
        <f t="shared" si="101"/>
        <v>1933.125</v>
      </c>
      <c r="E913" s="1">
        <v>16.188300000000002</v>
      </c>
      <c r="F913" s="1">
        <v>8.5134000000000007</v>
      </c>
      <c r="G913" s="1">
        <v>4.1623000000000001</v>
      </c>
      <c r="H913" s="1">
        <v>8.5241000000000007</v>
      </c>
      <c r="I913" s="1">
        <v>83.808700000000002</v>
      </c>
      <c r="J913" s="1">
        <f t="shared" si="99"/>
        <v>83.193544599999996</v>
      </c>
      <c r="K913" s="1">
        <v>9.5946199999999919</v>
      </c>
      <c r="L913" s="1">
        <f t="shared" si="100"/>
        <v>-30.549646404494379</v>
      </c>
      <c r="M913" s="1">
        <v>-257.42399999999998</v>
      </c>
      <c r="N913" s="1">
        <v>-33.031469999999999</v>
      </c>
    </row>
    <row r="914" spans="1:14" x14ac:dyDescent="0.4">
      <c r="A914" s="1">
        <v>1933</v>
      </c>
      <c r="B914" s="1">
        <v>46.1</v>
      </c>
      <c r="C914" s="1" t="s">
        <v>925</v>
      </c>
      <c r="D914" s="3">
        <f>-2.5*B914+2048.25</f>
        <v>1933</v>
      </c>
      <c r="E914" s="1">
        <v>58.060299999999998</v>
      </c>
      <c r="F914" s="1">
        <v>15.060700000000001</v>
      </c>
      <c r="G914" s="1">
        <v>8.7637</v>
      </c>
      <c r="H914" s="1">
        <v>4.4992999999999999</v>
      </c>
      <c r="I914" s="1">
        <v>47.231499999999997</v>
      </c>
      <c r="J914" s="1">
        <f t="shared" si="99"/>
        <v>45.025208599999999</v>
      </c>
      <c r="K914" s="1">
        <v>9.4790500000000009</v>
      </c>
      <c r="L914" s="1">
        <f t="shared" si="100"/>
        <v>32.76523898876404</v>
      </c>
      <c r="M914" s="1">
        <v>-275.27411000000001</v>
      </c>
      <c r="N914" s="1">
        <v>-35.219470000000001</v>
      </c>
    </row>
    <row r="915" spans="1:14" x14ac:dyDescent="0.4">
      <c r="B915" s="1">
        <v>46.15</v>
      </c>
      <c r="C915" s="1" t="s">
        <v>926</v>
      </c>
      <c r="D915" s="3">
        <f t="shared" ref="D915:D921" si="102">-2.5*B915+2048.25</f>
        <v>1932.875</v>
      </c>
      <c r="E915" s="1">
        <v>83.420599999999993</v>
      </c>
      <c r="F915" s="1">
        <v>62.140900000000002</v>
      </c>
      <c r="G915" s="1">
        <v>37.178100000000001</v>
      </c>
      <c r="H915" s="1">
        <v>27.563199999999998</v>
      </c>
      <c r="I915" s="1">
        <v>244.2921</v>
      </c>
      <c r="J915" s="1">
        <f t="shared" si="99"/>
        <v>241.12211719999999</v>
      </c>
      <c r="K915" s="1">
        <v>8.47654</v>
      </c>
      <c r="L915" s="1">
        <f t="shared" si="100"/>
        <v>-52.041263595505612</v>
      </c>
      <c r="M915" s="1">
        <v>-274.44018</v>
      </c>
      <c r="N915" s="1">
        <v>-35.18582</v>
      </c>
    </row>
    <row r="916" spans="1:14" x14ac:dyDescent="0.4">
      <c r="B916" s="1">
        <v>46.2</v>
      </c>
      <c r="C916" s="1" t="s">
        <v>927</v>
      </c>
      <c r="D916" s="3">
        <f t="shared" si="102"/>
        <v>1932.75</v>
      </c>
      <c r="E916" s="1">
        <v>102.98309999999999</v>
      </c>
      <c r="F916" s="1">
        <v>11.943899999999999</v>
      </c>
      <c r="G916" s="1">
        <v>6.3703000000000003</v>
      </c>
      <c r="H916" s="1">
        <v>11.9107</v>
      </c>
      <c r="I916" s="1">
        <v>58.159599999999998</v>
      </c>
      <c r="J916" s="1">
        <f t="shared" si="99"/>
        <v>54.246242199999998</v>
      </c>
      <c r="K916" s="1">
        <v>6.827760000000012</v>
      </c>
      <c r="L916" s="1">
        <f t="shared" si="100"/>
        <v>72.507683033707863</v>
      </c>
      <c r="M916" s="1">
        <v>-261.11257000000001</v>
      </c>
      <c r="N916" s="1">
        <v>-33.68103</v>
      </c>
    </row>
    <row r="917" spans="1:14" x14ac:dyDescent="0.4">
      <c r="B917" s="1">
        <v>46.25</v>
      </c>
      <c r="C917" s="1" t="s">
        <v>928</v>
      </c>
      <c r="D917" s="3">
        <f t="shared" si="102"/>
        <v>1932.625</v>
      </c>
      <c r="E917" s="1">
        <v>28.6313</v>
      </c>
      <c r="F917" s="1">
        <v>13.1152</v>
      </c>
      <c r="G917" s="1">
        <v>4.2202000000000002</v>
      </c>
      <c r="H917" s="1">
        <v>9.6710999999999991</v>
      </c>
      <c r="I917" s="1">
        <v>57.873600000000003</v>
      </c>
      <c r="J917" s="1">
        <f t="shared" si="99"/>
        <v>56.785610600000005</v>
      </c>
      <c r="K917" s="1">
        <v>6.4816500000000019</v>
      </c>
      <c r="L917" s="1">
        <f t="shared" si="100"/>
        <v>-3.2707284269662935</v>
      </c>
      <c r="M917" s="1">
        <v>-241.57277999999999</v>
      </c>
      <c r="N917" s="1">
        <v>-31.41854</v>
      </c>
    </row>
    <row r="918" spans="1:14" x14ac:dyDescent="0.4">
      <c r="B918" s="1">
        <v>46.3</v>
      </c>
      <c r="C918" s="1" t="s">
        <v>929</v>
      </c>
      <c r="D918" s="3">
        <f t="shared" si="102"/>
        <v>1932.5</v>
      </c>
      <c r="E918" s="1">
        <v>121.2671</v>
      </c>
      <c r="F918" s="1">
        <v>10.3933</v>
      </c>
      <c r="G918" s="1">
        <v>9.3895999999999997</v>
      </c>
      <c r="H918" s="1">
        <v>11.0044</v>
      </c>
      <c r="I918" s="1">
        <v>68.886099999999999</v>
      </c>
      <c r="J918" s="1">
        <f t="shared" si="99"/>
        <v>64.277950199999992</v>
      </c>
      <c r="K918" s="1">
        <v>7.0463799999999992</v>
      </c>
      <c r="L918" s="1">
        <f t="shared" si="100"/>
        <v>85.155892022471917</v>
      </c>
      <c r="M918" s="1">
        <v>-242.67884000000001</v>
      </c>
      <c r="N918" s="1">
        <v>-31.456689999999998</v>
      </c>
    </row>
    <row r="919" spans="1:14" x14ac:dyDescent="0.4">
      <c r="B919" s="1">
        <v>46.35</v>
      </c>
      <c r="C919" s="1" t="s">
        <v>930</v>
      </c>
      <c r="D919" s="3">
        <f t="shared" si="102"/>
        <v>1932.375</v>
      </c>
      <c r="E919" s="1">
        <v>10.831799999999999</v>
      </c>
      <c r="F919" s="1">
        <v>7.4183000000000003</v>
      </c>
      <c r="G919" s="1">
        <v>4.3159999999999998</v>
      </c>
      <c r="H919" s="1">
        <v>1.9921</v>
      </c>
      <c r="I919" s="1">
        <v>120.3558</v>
      </c>
      <c r="J919" s="1">
        <f t="shared" si="99"/>
        <v>119.9441916</v>
      </c>
      <c r="K919" s="1">
        <v>8.3356699999999933</v>
      </c>
      <c r="L919" s="1">
        <f t="shared" si="100"/>
        <v>-56.552577303370782</v>
      </c>
      <c r="M919" s="1">
        <v>-240.54977</v>
      </c>
      <c r="N919" s="1">
        <v>-31.300889999999999</v>
      </c>
    </row>
    <row r="920" spans="1:14" x14ac:dyDescent="0.4">
      <c r="B920" s="1">
        <v>46.4</v>
      </c>
      <c r="C920" s="1" t="s">
        <v>931</v>
      </c>
      <c r="D920" s="3">
        <f t="shared" si="102"/>
        <v>1932.25</v>
      </c>
      <c r="E920" s="1">
        <v>109.8228</v>
      </c>
      <c r="F920" s="1">
        <v>13.7318</v>
      </c>
      <c r="G920" s="1">
        <v>7.4726999999999997</v>
      </c>
      <c r="H920" s="1">
        <v>10.9049</v>
      </c>
      <c r="I920" s="1">
        <v>87.608900000000006</v>
      </c>
      <c r="J920" s="1">
        <f t="shared" si="99"/>
        <v>83.435633600000003</v>
      </c>
      <c r="K920" s="1">
        <v>9.7755400000000066</v>
      </c>
      <c r="L920" s="1">
        <f t="shared" si="100"/>
        <v>62.948848539325844</v>
      </c>
      <c r="M920" s="1">
        <v>-256.16320000000002</v>
      </c>
      <c r="N920" s="1">
        <v>-33.045050000000003</v>
      </c>
    </row>
    <row r="921" spans="1:14" x14ac:dyDescent="0.4">
      <c r="B921" s="1">
        <v>46.45</v>
      </c>
      <c r="C921" s="1" t="s">
        <v>932</v>
      </c>
      <c r="D921" s="3">
        <f t="shared" si="102"/>
        <v>1932.125</v>
      </c>
      <c r="E921" s="1">
        <v>70.347700000000003</v>
      </c>
      <c r="F921" s="1">
        <v>51.858199999999997</v>
      </c>
      <c r="G921" s="1">
        <v>9.3564000000000007</v>
      </c>
      <c r="H921" s="1">
        <v>13.8531</v>
      </c>
      <c r="I921" s="1">
        <v>73.983000000000004</v>
      </c>
      <c r="J921" s="1">
        <f t="shared" si="99"/>
        <v>71.309787400000005</v>
      </c>
      <c r="K921" s="1">
        <v>8.974679999999978</v>
      </c>
      <c r="L921" s="1">
        <f t="shared" si="100"/>
        <v>30.286021685393258</v>
      </c>
      <c r="M921" s="1">
        <v>-256.42734999999999</v>
      </c>
      <c r="N921" s="1">
        <v>-33.213900000000002</v>
      </c>
    </row>
    <row r="922" spans="1:14" x14ac:dyDescent="0.4">
      <c r="A922" s="1">
        <v>1932</v>
      </c>
      <c r="B922" s="1">
        <v>46.5</v>
      </c>
      <c r="C922" s="1" t="s">
        <v>933</v>
      </c>
      <c r="D922" s="3">
        <f>-2.857143*B922+2064.857143</f>
        <v>1931.9999935000001</v>
      </c>
      <c r="E922" s="1">
        <v>34.8855</v>
      </c>
      <c r="F922" s="1">
        <v>4.0492999999999997</v>
      </c>
      <c r="G922" s="1">
        <v>2.5331000000000001</v>
      </c>
      <c r="H922" s="1">
        <v>8.3674999999999997</v>
      </c>
      <c r="I922" s="1">
        <v>50.486899999999999</v>
      </c>
      <c r="J922" s="1">
        <f t="shared" si="99"/>
        <v>49.161251</v>
      </c>
      <c r="K922" s="1">
        <v>9.8573499999999967</v>
      </c>
      <c r="L922" s="1">
        <f t="shared" si="100"/>
        <v>7.2668196629213497</v>
      </c>
      <c r="M922" s="1">
        <v>-263.04185999999999</v>
      </c>
      <c r="N922" s="1">
        <v>-33.704250000000002</v>
      </c>
    </row>
    <row r="923" spans="1:14" x14ac:dyDescent="0.4">
      <c r="B923" s="1">
        <v>46.55</v>
      </c>
      <c r="C923" s="1" t="s">
        <v>934</v>
      </c>
      <c r="D923" s="3">
        <f t="shared" ref="D923:D928" si="103">-2.857143*B923+2064.857143</f>
        <v>1931.8571363500002</v>
      </c>
      <c r="E923" s="1">
        <v>109.8689</v>
      </c>
      <c r="F923" s="1">
        <v>35.980699999999999</v>
      </c>
      <c r="G923" s="1">
        <v>6.7100999999999997</v>
      </c>
      <c r="H923" s="1">
        <v>17.505800000000001</v>
      </c>
      <c r="I923" s="1">
        <v>80.452100000000002</v>
      </c>
      <c r="J923" s="1">
        <f t="shared" si="99"/>
        <v>76.277081800000005</v>
      </c>
      <c r="K923" s="1">
        <v>8.1972000000000094</v>
      </c>
      <c r="L923" s="1">
        <f t="shared" si="100"/>
        <v>67.016606853932586</v>
      </c>
      <c r="M923" s="1">
        <v>-257.64371</v>
      </c>
      <c r="N923" s="1">
        <v>-33.518749999999997</v>
      </c>
    </row>
    <row r="924" spans="1:14" x14ac:dyDescent="0.4">
      <c r="B924" s="1">
        <v>46.6</v>
      </c>
      <c r="C924" s="1" t="s">
        <v>935</v>
      </c>
      <c r="D924" s="3">
        <f t="shared" si="103"/>
        <v>1931.7142792000002</v>
      </c>
      <c r="E924" s="1">
        <v>28.093399999999999</v>
      </c>
      <c r="F924" s="1">
        <v>3.8271999999999999</v>
      </c>
      <c r="G924" s="1">
        <v>2.3172999999999999</v>
      </c>
      <c r="H924" s="1">
        <v>7.5137999999999998</v>
      </c>
      <c r="I924" s="1">
        <v>38.012700000000002</v>
      </c>
      <c r="J924" s="1">
        <f t="shared" si="99"/>
        <v>36.9451508</v>
      </c>
      <c r="K924" s="1">
        <v>9.2838500000000295</v>
      </c>
      <c r="L924" s="1">
        <f t="shared" si="100"/>
        <v>7.3376973033707849</v>
      </c>
      <c r="M924" s="1">
        <v>-246.74968999999999</v>
      </c>
      <c r="N924" s="1">
        <v>-32.027119999999996</v>
      </c>
    </row>
    <row r="925" spans="1:14" x14ac:dyDescent="0.4">
      <c r="B925" s="1">
        <v>46.65</v>
      </c>
      <c r="C925" s="1" t="s">
        <v>936</v>
      </c>
      <c r="D925" s="3">
        <f t="shared" si="103"/>
        <v>1931.5714220500001</v>
      </c>
      <c r="E925" s="1">
        <v>56.521999999999998</v>
      </c>
      <c r="F925" s="1">
        <v>52.9251</v>
      </c>
      <c r="G925" s="1">
        <v>5.9953000000000003</v>
      </c>
      <c r="H925" s="1">
        <v>20.481000000000002</v>
      </c>
      <c r="I925" s="1">
        <v>65.884699999999995</v>
      </c>
      <c r="J925" s="1">
        <f t="shared" si="99"/>
        <v>63.736863999999997</v>
      </c>
      <c r="K925" s="1">
        <v>6.592140000000029</v>
      </c>
      <c r="L925" s="1">
        <f t="shared" si="100"/>
        <v>20.714773033707864</v>
      </c>
      <c r="M925" s="1">
        <v>-243.05788999999999</v>
      </c>
      <c r="N925" s="1">
        <v>-31.58614</v>
      </c>
    </row>
    <row r="926" spans="1:14" x14ac:dyDescent="0.4">
      <c r="B926" s="1">
        <v>46.7</v>
      </c>
      <c r="C926" s="1" t="s">
        <v>937</v>
      </c>
      <c r="D926" s="3">
        <f t="shared" si="103"/>
        <v>1931.4285649000001</v>
      </c>
      <c r="E926" s="1">
        <v>169.70599999999999</v>
      </c>
      <c r="F926" s="1">
        <v>0.42599999999999999</v>
      </c>
      <c r="G926" s="1">
        <v>7.7519</v>
      </c>
      <c r="H926" s="1">
        <v>13.7715</v>
      </c>
      <c r="I926" s="1">
        <v>25.7639</v>
      </c>
      <c r="J926" s="1">
        <f t="shared" si="99"/>
        <v>19.315072000000001</v>
      </c>
      <c r="K926" s="1">
        <v>10.506289999999979</v>
      </c>
      <c r="L926" s="1">
        <f t="shared" si="100"/>
        <v>158.85483595505616</v>
      </c>
      <c r="M926" s="1">
        <v>-241.34820999999999</v>
      </c>
      <c r="N926" s="1">
        <v>-31.33841</v>
      </c>
    </row>
    <row r="927" spans="1:14" x14ac:dyDescent="0.4">
      <c r="B927" s="1">
        <v>46.75</v>
      </c>
      <c r="C927" s="1" t="s">
        <v>938</v>
      </c>
      <c r="D927" s="3">
        <f t="shared" si="103"/>
        <v>1931.2857077500003</v>
      </c>
      <c r="E927" s="1">
        <v>406.12869999999998</v>
      </c>
      <c r="F927" s="1">
        <v>96.202399999999997</v>
      </c>
      <c r="G927" s="1">
        <v>254.20269999999999</v>
      </c>
      <c r="H927" s="1">
        <v>46.675800000000002</v>
      </c>
      <c r="I927" s="1">
        <v>225.25919999999999</v>
      </c>
      <c r="J927" s="1">
        <f t="shared" si="99"/>
        <v>209.82630939999999</v>
      </c>
      <c r="K927" s="1">
        <v>9.467269999999985</v>
      </c>
      <c r="L927" s="1">
        <f t="shared" si="100"/>
        <v>288.24875089887638</v>
      </c>
      <c r="M927" s="1">
        <v>-239.67019999999999</v>
      </c>
      <c r="N927" s="1">
        <v>-30.8079</v>
      </c>
    </row>
    <row r="928" spans="1:14" x14ac:dyDescent="0.4">
      <c r="B928" s="1">
        <v>46.8</v>
      </c>
      <c r="C928" s="1" t="s">
        <v>939</v>
      </c>
      <c r="D928" s="3">
        <f t="shared" si="103"/>
        <v>1931.1428506000002</v>
      </c>
      <c r="E928" s="1">
        <v>18.516100000000002</v>
      </c>
      <c r="F928" s="1">
        <v>2.7517999999999998</v>
      </c>
      <c r="G928" s="1">
        <v>1.8776999999999999</v>
      </c>
      <c r="H928" s="1">
        <v>5.8632</v>
      </c>
      <c r="I928" s="1">
        <v>16.967099999999999</v>
      </c>
      <c r="J928" s="1">
        <f t="shared" si="99"/>
        <v>16.263488199999998</v>
      </c>
      <c r="K928" s="1">
        <v>9.6312300000000164</v>
      </c>
      <c r="L928" s="1">
        <f t="shared" si="100"/>
        <v>9.3793088764044974</v>
      </c>
      <c r="M928" s="1">
        <v>-243.18786</v>
      </c>
      <c r="N928" s="1">
        <v>-31.242550000000001</v>
      </c>
    </row>
    <row r="929" spans="1:14" x14ac:dyDescent="0.4">
      <c r="A929" s="1">
        <v>1931</v>
      </c>
      <c r="B929" s="1">
        <v>46.85</v>
      </c>
      <c r="C929" s="1" t="s">
        <v>940</v>
      </c>
      <c r="D929" s="3">
        <f>-2.222222*B929+2035.11111</f>
        <v>1931.0000093000001</v>
      </c>
      <c r="E929" s="1">
        <v>145.70750000000001</v>
      </c>
      <c r="F929" s="1">
        <v>65.846599999999995</v>
      </c>
      <c r="G929" s="1">
        <v>8.2078000000000007</v>
      </c>
      <c r="H929" s="1">
        <v>20.556899999999999</v>
      </c>
      <c r="I929" s="1">
        <v>70.365700000000004</v>
      </c>
      <c r="J929" s="1">
        <f t="shared" si="99"/>
        <v>64.828815000000006</v>
      </c>
      <c r="K929" s="1">
        <v>9.3590700000000027</v>
      </c>
      <c r="L929" s="1">
        <f t="shared" si="100"/>
        <v>109.28681741573035</v>
      </c>
      <c r="M929" s="1">
        <v>-248.31948</v>
      </c>
      <c r="N929" s="1">
        <v>-31.72437</v>
      </c>
    </row>
    <row r="930" spans="1:14" x14ac:dyDescent="0.4">
      <c r="B930" s="1">
        <v>46.9</v>
      </c>
      <c r="C930" s="1" t="s">
        <v>941</v>
      </c>
      <c r="D930" s="3">
        <f t="shared" ref="D930:D937" si="104">-2.222222*B930+2035.11111</f>
        <v>1930.8888982000001</v>
      </c>
      <c r="E930" s="1">
        <v>34.568100000000001</v>
      </c>
      <c r="F930" s="1">
        <v>4.3399000000000001</v>
      </c>
      <c r="G930" s="1">
        <v>3.1417999999999999</v>
      </c>
      <c r="H930" s="1">
        <v>5.0670000000000002</v>
      </c>
      <c r="I930" s="1">
        <v>35.257399999999997</v>
      </c>
      <c r="J930" s="1">
        <f t="shared" si="99"/>
        <v>33.943812199999996</v>
      </c>
      <c r="K930" s="1">
        <v>6.7930000000000064</v>
      </c>
      <c r="L930" s="1">
        <f t="shared" si="100"/>
        <v>15.498542584269668</v>
      </c>
      <c r="M930" s="1">
        <v>-250.30902</v>
      </c>
      <c r="N930" s="1">
        <v>-31.815639999999998</v>
      </c>
    </row>
    <row r="931" spans="1:14" x14ac:dyDescent="0.4">
      <c r="B931" s="1">
        <v>46.95</v>
      </c>
      <c r="C931" s="1" t="s">
        <v>942</v>
      </c>
      <c r="D931" s="3">
        <f t="shared" si="104"/>
        <v>1930.7777871000001</v>
      </c>
      <c r="E931" s="1">
        <v>20.332100000000001</v>
      </c>
      <c r="F931" s="1">
        <v>28.798300000000001</v>
      </c>
      <c r="G931" s="1">
        <v>3.4559000000000002</v>
      </c>
      <c r="H931" s="1">
        <v>5.6599000000000004</v>
      </c>
      <c r="I931" s="1">
        <v>120.2409</v>
      </c>
      <c r="J931" s="1">
        <f t="shared" si="99"/>
        <v>119.4682802</v>
      </c>
      <c r="K931" s="1">
        <v>6.7525400000000104</v>
      </c>
      <c r="L931" s="1">
        <f t="shared" si="100"/>
        <v>-46.784911348314608</v>
      </c>
      <c r="M931" s="1">
        <v>-247.03695999999999</v>
      </c>
      <c r="N931" s="1">
        <v>-31.239719999999998</v>
      </c>
    </row>
    <row r="932" spans="1:14" x14ac:dyDescent="0.4">
      <c r="B932" s="1">
        <v>47</v>
      </c>
      <c r="C932" s="1" t="s">
        <v>943</v>
      </c>
      <c r="D932" s="3">
        <f t="shared" si="104"/>
        <v>1930.6666760000001</v>
      </c>
      <c r="E932" s="1">
        <v>24.946999999999999</v>
      </c>
      <c r="F932" s="1">
        <v>10.396800000000001</v>
      </c>
      <c r="G932" s="1">
        <v>3.9382000000000001</v>
      </c>
      <c r="H932" s="1">
        <v>6.2183000000000002</v>
      </c>
      <c r="I932" s="1">
        <v>38.944200000000002</v>
      </c>
      <c r="J932" s="1">
        <f t="shared" si="99"/>
        <v>37.996214000000002</v>
      </c>
      <c r="K932" s="1">
        <v>5.4754800000000046</v>
      </c>
      <c r="L932" s="1">
        <f t="shared" si="100"/>
        <v>3.6008123595505594</v>
      </c>
      <c r="M932" s="1">
        <v>-239.16113999999999</v>
      </c>
      <c r="N932" s="1">
        <v>-30.272539999999999</v>
      </c>
    </row>
    <row r="933" spans="1:14" x14ac:dyDescent="0.4">
      <c r="B933" s="1">
        <v>47.05</v>
      </c>
      <c r="C933" s="1" t="s">
        <v>944</v>
      </c>
      <c r="D933" s="3">
        <f t="shared" si="104"/>
        <v>1930.5555649</v>
      </c>
      <c r="E933" s="1">
        <v>76.036699999999996</v>
      </c>
      <c r="F933" s="1">
        <v>98.261399999999995</v>
      </c>
      <c r="G933" s="1">
        <v>8.7319999999999993</v>
      </c>
      <c r="H933" s="1">
        <v>13.162100000000001</v>
      </c>
      <c r="I933" s="1">
        <v>59.9283</v>
      </c>
      <c r="J933" s="1">
        <f t="shared" si="99"/>
        <v>57.038905399999997</v>
      </c>
      <c r="K933" s="1">
        <v>4.2160999999999831</v>
      </c>
      <c r="L933" s="1">
        <f t="shared" si="100"/>
        <v>43.992371123595504</v>
      </c>
      <c r="M933" s="1">
        <v>-232.00568999999999</v>
      </c>
      <c r="N933" s="1">
        <v>-29.396049999999999</v>
      </c>
    </row>
    <row r="934" spans="1:14" x14ac:dyDescent="0.4">
      <c r="B934" s="1">
        <v>47.1</v>
      </c>
      <c r="C934" s="1" t="s">
        <v>945</v>
      </c>
      <c r="D934" s="3">
        <f t="shared" si="104"/>
        <v>1930.4444538</v>
      </c>
      <c r="E934" s="1">
        <v>50.798400000000001</v>
      </c>
      <c r="F934" s="1">
        <v>11.745900000000001</v>
      </c>
      <c r="G934" s="1">
        <v>2.7016</v>
      </c>
      <c r="H934" s="1">
        <v>12.3794</v>
      </c>
      <c r="I934" s="1">
        <v>36.372999999999998</v>
      </c>
      <c r="J934" s="1">
        <f t="shared" si="99"/>
        <v>34.442660799999999</v>
      </c>
      <c r="K934" s="1">
        <v>2.8807999999999936</v>
      </c>
      <c r="L934" s="1">
        <f t="shared" si="100"/>
        <v>31.448590561797754</v>
      </c>
      <c r="M934" s="1">
        <v>-224.27348000000001</v>
      </c>
      <c r="N934" s="1">
        <v>-28.330359999999999</v>
      </c>
    </row>
    <row r="935" spans="1:14" x14ac:dyDescent="0.4">
      <c r="B935" s="1">
        <v>47.15</v>
      </c>
      <c r="C935" s="1" t="s">
        <v>946</v>
      </c>
      <c r="D935" s="3">
        <f t="shared" si="104"/>
        <v>1930.3333427</v>
      </c>
      <c r="E935" s="1">
        <v>295.7679</v>
      </c>
      <c r="F935" s="1">
        <v>9.7142999999999997</v>
      </c>
      <c r="G935" s="1">
        <v>15.682700000000001</v>
      </c>
      <c r="H935" s="1">
        <v>38.811500000000002</v>
      </c>
      <c r="I935" s="1">
        <v>96.421700000000001</v>
      </c>
      <c r="J935" s="1">
        <f t="shared" si="99"/>
        <v>85.182519799999994</v>
      </c>
      <c r="K935" s="1">
        <v>3.0191800000000057</v>
      </c>
      <c r="L935" s="1">
        <f t="shared" si="100"/>
        <v>247.91255179775283</v>
      </c>
      <c r="M935" s="1">
        <v>-224.95623000000001</v>
      </c>
      <c r="N935" s="1">
        <v>-28.562080000000002</v>
      </c>
    </row>
    <row r="936" spans="1:14" x14ac:dyDescent="0.4">
      <c r="B936" s="1">
        <v>47.2</v>
      </c>
      <c r="C936" s="1" t="s">
        <v>947</v>
      </c>
      <c r="D936" s="3">
        <f t="shared" si="104"/>
        <v>1930.2222316</v>
      </c>
      <c r="E936" s="1">
        <v>265.50369999999998</v>
      </c>
      <c r="F936" s="1">
        <v>17.1096</v>
      </c>
      <c r="G936" s="1">
        <v>11.8863</v>
      </c>
      <c r="H936" s="1">
        <v>45.996400000000001</v>
      </c>
      <c r="I936" s="1">
        <v>64.858999999999995</v>
      </c>
      <c r="J936" s="1">
        <f t="shared" si="99"/>
        <v>54.769859399999994</v>
      </c>
      <c r="K936" s="1">
        <v>3.1627100000000041</v>
      </c>
      <c r="L936" s="1">
        <f t="shared" si="100"/>
        <v>234.73411606741573</v>
      </c>
      <c r="M936" s="1">
        <v>-229.76768999999999</v>
      </c>
      <c r="N936" s="1">
        <v>-29.397839999999999</v>
      </c>
    </row>
    <row r="937" spans="1:14" x14ac:dyDescent="0.4">
      <c r="B937" s="1">
        <v>47.25</v>
      </c>
      <c r="C937" s="1" t="s">
        <v>948</v>
      </c>
      <c r="D937" s="3">
        <f t="shared" si="104"/>
        <v>1930.1111205</v>
      </c>
      <c r="E937" s="1">
        <v>127.6781</v>
      </c>
      <c r="F937" s="1">
        <v>27.427199999999999</v>
      </c>
      <c r="G937" s="1">
        <v>4.6755000000000004</v>
      </c>
      <c r="H937" s="1">
        <v>25.389099999999999</v>
      </c>
      <c r="I937" s="1">
        <v>58.022100000000002</v>
      </c>
      <c r="J937" s="1">
        <f t="shared" si="99"/>
        <v>53.170332200000004</v>
      </c>
      <c r="K937" s="1">
        <v>2.3693999999999846</v>
      </c>
      <c r="L937" s="1">
        <f t="shared" si="100"/>
        <v>97.807126853932587</v>
      </c>
      <c r="M937" s="1">
        <v>-236.91538</v>
      </c>
      <c r="N937" s="1">
        <v>-30.278359999999999</v>
      </c>
    </row>
    <row r="938" spans="1:14" x14ac:dyDescent="0.4">
      <c r="A938" s="1">
        <v>1930</v>
      </c>
      <c r="B938" s="1">
        <v>47.3</v>
      </c>
      <c r="C938" s="1" t="s">
        <v>949</v>
      </c>
      <c r="D938" s="3">
        <f>-1.818182*B938+2016</f>
        <v>1929.9999914</v>
      </c>
      <c r="E938" s="1">
        <v>185.23939999999999</v>
      </c>
      <c r="F938" s="1">
        <v>9.5615000000000006</v>
      </c>
      <c r="G938" s="1">
        <v>4.5216000000000003</v>
      </c>
      <c r="H938" s="1">
        <v>64.120900000000006</v>
      </c>
      <c r="I938" s="1">
        <v>80.421899999999994</v>
      </c>
      <c r="J938" s="1">
        <f t="shared" si="99"/>
        <v>73.382802799999993</v>
      </c>
      <c r="K938" s="1">
        <v>3.5404100000000085</v>
      </c>
      <c r="L938" s="1">
        <f t="shared" si="100"/>
        <v>144.01310629213481</v>
      </c>
      <c r="M938" s="1">
        <v>-245.75797</v>
      </c>
      <c r="N938" s="1">
        <v>-31.241859999999999</v>
      </c>
    </row>
    <row r="939" spans="1:14" x14ac:dyDescent="0.4">
      <c r="B939" s="1">
        <v>47.35</v>
      </c>
      <c r="C939" s="1" t="s">
        <v>950</v>
      </c>
      <c r="D939" s="3">
        <f t="shared" ref="D939:D948" si="105">-1.818182*B939+2016</f>
        <v>1929.9090822999999</v>
      </c>
      <c r="E939" s="1">
        <v>11.655900000000001</v>
      </c>
      <c r="F939" s="1">
        <v>38.403700000000001</v>
      </c>
      <c r="G939" s="1">
        <v>3.3296000000000001</v>
      </c>
      <c r="H939" s="1">
        <v>7.2892000000000001</v>
      </c>
      <c r="I939" s="1">
        <v>51.855499999999999</v>
      </c>
      <c r="J939" s="1">
        <f t="shared" si="99"/>
        <v>51.412575799999999</v>
      </c>
      <c r="K939" s="1">
        <v>5.4150300000000016</v>
      </c>
      <c r="L939" s="1">
        <f t="shared" si="100"/>
        <v>-17.227569550561796</v>
      </c>
      <c r="M939" s="1">
        <v>-250.42637999999999</v>
      </c>
      <c r="N939" s="1">
        <v>-31.83718</v>
      </c>
    </row>
    <row r="940" spans="1:14" x14ac:dyDescent="0.4">
      <c r="B940" s="1">
        <v>47.399999999999899</v>
      </c>
      <c r="C940" s="1" t="s">
        <v>951</v>
      </c>
      <c r="D940" s="3">
        <f t="shared" si="105"/>
        <v>1929.8181732000003</v>
      </c>
      <c r="E940" s="1">
        <v>34.151499999999999</v>
      </c>
      <c r="F940" s="1">
        <v>4.8913000000000002</v>
      </c>
      <c r="G940" s="1">
        <v>3.1126999999999998</v>
      </c>
      <c r="H940" s="1">
        <v>10.1868</v>
      </c>
      <c r="I940" s="1">
        <v>39.5366</v>
      </c>
      <c r="J940" s="1">
        <f t="shared" si="99"/>
        <v>38.238843000000003</v>
      </c>
      <c r="K940" s="1">
        <v>5.3114999999999952</v>
      </c>
      <c r="L940" s="1">
        <f t="shared" si="100"/>
        <v>12.669003932584268</v>
      </c>
      <c r="M940" s="1">
        <v>-246.14429000000001</v>
      </c>
      <c r="N940" s="1">
        <v>-31.397829999999999</v>
      </c>
    </row>
    <row r="941" spans="1:14" x14ac:dyDescent="0.4">
      <c r="B941" s="1">
        <v>47.449999999999903</v>
      </c>
      <c r="C941" s="1" t="s">
        <v>952</v>
      </c>
      <c r="D941" s="3">
        <f t="shared" si="105"/>
        <v>1929.7272641000002</v>
      </c>
      <c r="E941" s="1">
        <v>91.423299999999998</v>
      </c>
      <c r="F941" s="1">
        <v>42.710500000000003</v>
      </c>
      <c r="G941" s="1">
        <v>5.5263999999999998</v>
      </c>
      <c r="H941" s="1">
        <v>19.436</v>
      </c>
      <c r="I941" s="1">
        <v>37.900599999999997</v>
      </c>
      <c r="J941" s="1">
        <f t="shared" si="99"/>
        <v>34.426514599999997</v>
      </c>
      <c r="K941" s="1">
        <v>4.1769099999999924</v>
      </c>
      <c r="L941" s="1">
        <f t="shared" si="100"/>
        <v>72.082561460674157</v>
      </c>
      <c r="M941" s="1">
        <v>-241.63793999999999</v>
      </c>
      <c r="N941" s="1">
        <v>-30.889669999999999</v>
      </c>
    </row>
    <row r="942" spans="1:14" x14ac:dyDescent="0.4">
      <c r="B942" s="1">
        <v>47.499999999999901</v>
      </c>
      <c r="C942" s="1" t="s">
        <v>953</v>
      </c>
      <c r="D942" s="3">
        <f t="shared" si="105"/>
        <v>1929.6363550000001</v>
      </c>
      <c r="E942" s="1">
        <v>101.8584</v>
      </c>
      <c r="F942" s="1">
        <v>2.8833000000000002</v>
      </c>
      <c r="G942" s="1">
        <v>1.6409</v>
      </c>
      <c r="H942" s="1">
        <v>15.6084</v>
      </c>
      <c r="I942" s="1">
        <v>27.990100000000002</v>
      </c>
      <c r="J942" s="1">
        <f t="shared" si="99"/>
        <v>24.119480800000002</v>
      </c>
      <c r="K942" s="1">
        <v>4.2710600000000056</v>
      </c>
      <c r="L942" s="1">
        <f t="shared" si="100"/>
        <v>88.308129887640447</v>
      </c>
      <c r="M942" s="1">
        <v>-236.35458</v>
      </c>
      <c r="N942" s="1">
        <v>-30.42409</v>
      </c>
    </row>
    <row r="943" spans="1:14" x14ac:dyDescent="0.4">
      <c r="B943" s="1">
        <v>47.549999999999898</v>
      </c>
      <c r="C943" s="1" t="s">
        <v>954</v>
      </c>
      <c r="D943" s="3">
        <f t="shared" si="105"/>
        <v>1929.5454459000002</v>
      </c>
      <c r="E943" s="1">
        <v>113.8282</v>
      </c>
      <c r="F943" s="1">
        <v>33.046100000000003</v>
      </c>
      <c r="G943" s="1">
        <v>5.3426</v>
      </c>
      <c r="H943" s="1">
        <v>14.2598</v>
      </c>
      <c r="I943" s="1">
        <v>70.287199999999999</v>
      </c>
      <c r="J943" s="1">
        <f t="shared" si="99"/>
        <v>65.961728399999998</v>
      </c>
      <c r="K943" s="1">
        <v>5.0383499999999799</v>
      </c>
      <c r="L943" s="1">
        <f t="shared" si="100"/>
        <v>76.771049213483138</v>
      </c>
      <c r="M943" s="1">
        <v>-234.95059000000001</v>
      </c>
      <c r="N943" s="1">
        <v>-30.313179999999999</v>
      </c>
    </row>
    <row r="944" spans="1:14" x14ac:dyDescent="0.4">
      <c r="B944" s="1">
        <v>47.599999999999902</v>
      </c>
      <c r="C944" s="1" t="s">
        <v>955</v>
      </c>
      <c r="D944" s="3">
        <f t="shared" si="105"/>
        <v>1929.4545368000001</v>
      </c>
      <c r="E944" s="1">
        <v>67.091099999999997</v>
      </c>
      <c r="F944" s="1">
        <v>10.2845</v>
      </c>
      <c r="G944" s="1">
        <v>2.0657999999999999</v>
      </c>
      <c r="H944" s="1">
        <v>13.5138</v>
      </c>
      <c r="I944" s="1">
        <v>46.180799999999998</v>
      </c>
      <c r="J944" s="1">
        <f t="shared" si="99"/>
        <v>43.631338199999995</v>
      </c>
      <c r="K944" s="1">
        <v>5.4794200000000046</v>
      </c>
      <c r="L944" s="1">
        <f t="shared" si="100"/>
        <v>42.579112247191013</v>
      </c>
      <c r="M944" s="1">
        <v>-238.91313</v>
      </c>
      <c r="N944" s="1">
        <v>-30.439050000000002</v>
      </c>
    </row>
    <row r="945" spans="1:14" x14ac:dyDescent="0.4">
      <c r="B945" s="1">
        <v>47.649999999999899</v>
      </c>
      <c r="C945" s="1" t="s">
        <v>956</v>
      </c>
      <c r="D945" s="3">
        <f t="shared" si="105"/>
        <v>1929.3636277000003</v>
      </c>
      <c r="E945" s="1">
        <v>52.902700000000003</v>
      </c>
      <c r="F945" s="1">
        <v>35.309800000000003</v>
      </c>
      <c r="G945" s="1">
        <v>7.5182000000000002</v>
      </c>
      <c r="H945" s="1">
        <v>6.8380999999999998</v>
      </c>
      <c r="I945" s="1">
        <v>82.986800000000002</v>
      </c>
      <c r="J945" s="1">
        <f t="shared" si="99"/>
        <v>80.9764974</v>
      </c>
      <c r="K945" s="1">
        <v>7.0381399999999985</v>
      </c>
      <c r="L945" s="1">
        <f t="shared" si="100"/>
        <v>7.4102857303370797</v>
      </c>
      <c r="M945" s="1">
        <v>-246.60221000000001</v>
      </c>
      <c r="N945" s="1">
        <v>-31.447320000000001</v>
      </c>
    </row>
    <row r="946" spans="1:14" x14ac:dyDescent="0.4">
      <c r="B946" s="1">
        <v>47.699999999999903</v>
      </c>
      <c r="C946" s="1" t="s">
        <v>957</v>
      </c>
      <c r="D946" s="3">
        <f t="shared" si="105"/>
        <v>1929.2727186000002</v>
      </c>
      <c r="E946" s="1">
        <v>49.1584</v>
      </c>
      <c r="F946" s="1">
        <v>2.7572000000000001</v>
      </c>
      <c r="G946" s="1">
        <v>3.0884</v>
      </c>
      <c r="H946" s="1">
        <v>11.5806</v>
      </c>
      <c r="I946" s="1">
        <v>83.489800000000002</v>
      </c>
      <c r="J946" s="1">
        <f t="shared" si="99"/>
        <v>81.621780799999996</v>
      </c>
      <c r="K946" s="1">
        <v>7.5548499999999876</v>
      </c>
      <c r="L946" s="1">
        <f t="shared" si="100"/>
        <v>3.3034669662921345</v>
      </c>
      <c r="M946" s="1">
        <v>-251.60045</v>
      </c>
      <c r="N946" s="1">
        <v>-31.920629999999999</v>
      </c>
    </row>
    <row r="947" spans="1:14" x14ac:dyDescent="0.4">
      <c r="B947" s="1">
        <v>47.749999999999901</v>
      </c>
      <c r="C947" s="1" t="s">
        <v>958</v>
      </c>
      <c r="D947" s="3">
        <f t="shared" si="105"/>
        <v>1929.1818095000001</v>
      </c>
      <c r="E947" s="1">
        <v>21.8781</v>
      </c>
      <c r="F947" s="1">
        <v>39.646900000000002</v>
      </c>
      <c r="G947" s="1">
        <v>4.6986999999999997</v>
      </c>
      <c r="H947" s="1">
        <v>6.4283999999999999</v>
      </c>
      <c r="I947" s="1">
        <v>56.4101</v>
      </c>
      <c r="J947" s="1">
        <f t="shared" si="99"/>
        <v>55.578732199999997</v>
      </c>
      <c r="K947" s="1">
        <v>4.5992700000000184</v>
      </c>
      <c r="L947" s="1">
        <f t="shared" si="100"/>
        <v>-9.3459068539325827</v>
      </c>
      <c r="M947" s="1">
        <v>-251.53644</v>
      </c>
      <c r="N947" s="1">
        <v>-32.026820000000001</v>
      </c>
    </row>
    <row r="948" spans="1:14" x14ac:dyDescent="0.4">
      <c r="B948" s="1">
        <v>47.799999999999898</v>
      </c>
      <c r="C948" s="1" t="s">
        <v>959</v>
      </c>
      <c r="D948" s="3">
        <f t="shared" si="105"/>
        <v>1929.0909004000002</v>
      </c>
      <c r="E948" s="1">
        <v>36.650399999999998</v>
      </c>
      <c r="F948" s="1">
        <v>11.2418</v>
      </c>
      <c r="G948" s="1">
        <v>3.8773</v>
      </c>
      <c r="H948" s="1">
        <v>5.3484999999999996</v>
      </c>
      <c r="I948" s="1">
        <v>100.4641</v>
      </c>
      <c r="J948" s="1">
        <f t="shared" si="99"/>
        <v>99.071384800000004</v>
      </c>
      <c r="K948" s="1">
        <v>4.9763499999999965</v>
      </c>
      <c r="L948" s="1">
        <f t="shared" si="100"/>
        <v>-19.007681348314613</v>
      </c>
      <c r="M948" s="1">
        <v>-248.52610000000001</v>
      </c>
      <c r="N948" s="1">
        <v>-32.122599999999998</v>
      </c>
    </row>
    <row r="949" spans="1:14" x14ac:dyDescent="0.4">
      <c r="A949" s="1">
        <v>1929</v>
      </c>
      <c r="B949" s="1">
        <v>47.849999999999902</v>
      </c>
      <c r="C949" s="1" t="s">
        <v>960</v>
      </c>
      <c r="D949" s="3">
        <f>-1.538462*B949+2002.615385</f>
        <v>1928.9999783000003</v>
      </c>
      <c r="E949" s="1">
        <v>54.261800000000001</v>
      </c>
      <c r="F949" s="1">
        <v>51.7761</v>
      </c>
      <c r="G949" s="1">
        <v>11.359500000000001</v>
      </c>
      <c r="H949" s="1">
        <v>11.6069</v>
      </c>
      <c r="I949" s="1">
        <v>134.21559999999999</v>
      </c>
      <c r="J949" s="1">
        <f t="shared" si="99"/>
        <v>132.15365159999999</v>
      </c>
      <c r="K949" s="1">
        <v>3.7645899999999983</v>
      </c>
      <c r="L949" s="1">
        <f t="shared" si="100"/>
        <v>-19.981824494382018</v>
      </c>
      <c r="M949" s="1">
        <v>-249.07719</v>
      </c>
      <c r="N949" s="1">
        <v>-32.005690000000001</v>
      </c>
    </row>
    <row r="950" spans="1:14" x14ac:dyDescent="0.4">
      <c r="B950" s="1">
        <v>47.899999999999899</v>
      </c>
      <c r="C950" s="1" t="s">
        <v>961</v>
      </c>
      <c r="D950" s="3">
        <f t="shared" ref="D950:D961" si="106">-1.538462*B950+2002.615385</f>
        <v>1928.9230552000001</v>
      </c>
      <c r="E950" s="1">
        <v>43.052100000000003</v>
      </c>
      <c r="F950" s="1">
        <v>10.257199999999999</v>
      </c>
      <c r="G950" s="1">
        <v>4.9324000000000003</v>
      </c>
      <c r="H950" s="1">
        <v>9.3728999999999996</v>
      </c>
      <c r="I950" s="1">
        <v>9.6870999999999992</v>
      </c>
      <c r="J950" s="1">
        <f t="shared" si="99"/>
        <v>8.0511201999999997</v>
      </c>
      <c r="K950" s="1">
        <v>4.6781200000000069</v>
      </c>
      <c r="L950" s="1">
        <f t="shared" si="100"/>
        <v>38.52899876404495</v>
      </c>
      <c r="M950" s="1">
        <v>-243.35448</v>
      </c>
      <c r="N950" s="1">
        <v>-30.877880000000001</v>
      </c>
    </row>
    <row r="951" spans="1:14" x14ac:dyDescent="0.4">
      <c r="B951" s="1">
        <v>47.949999999999903</v>
      </c>
      <c r="C951" s="1" t="s">
        <v>962</v>
      </c>
      <c r="D951" s="3">
        <f t="shared" si="106"/>
        <v>1928.8461321000002</v>
      </c>
      <c r="E951" s="1">
        <v>37.374000000000002</v>
      </c>
      <c r="F951" s="1">
        <v>35.460900000000002</v>
      </c>
      <c r="G951" s="1">
        <v>9.9334000000000007</v>
      </c>
      <c r="H951" s="1">
        <v>15.684200000000001</v>
      </c>
      <c r="I951" s="1">
        <v>73.1875</v>
      </c>
      <c r="J951" s="1">
        <f t="shared" si="99"/>
        <v>71.767287999999994</v>
      </c>
      <c r="K951" s="1">
        <v>8.4546999999999741</v>
      </c>
      <c r="L951" s="1">
        <f t="shared" si="100"/>
        <v>-2.9447011235955003</v>
      </c>
      <c r="M951" s="1">
        <v>-236.30955</v>
      </c>
      <c r="N951" s="1">
        <v>-30.525919999999999</v>
      </c>
    </row>
    <row r="952" spans="1:14" x14ac:dyDescent="0.4">
      <c r="B952" s="1">
        <v>47.999999999999901</v>
      </c>
      <c r="C952" s="1" t="s">
        <v>963</v>
      </c>
      <c r="D952" s="3">
        <f t="shared" si="106"/>
        <v>1928.7692090000003</v>
      </c>
      <c r="E952" s="1">
        <v>80.967399999999998</v>
      </c>
      <c r="F952" s="1">
        <v>24.571999999999999</v>
      </c>
      <c r="G952" s="1">
        <v>40.267899999999997</v>
      </c>
      <c r="H952" s="1">
        <v>24.317499999999999</v>
      </c>
      <c r="I952" s="1">
        <v>83.719899999999996</v>
      </c>
      <c r="J952" s="1">
        <f t="shared" si="99"/>
        <v>80.643138800000003</v>
      </c>
      <c r="K952" s="1">
        <v>6.9683300000000088</v>
      </c>
      <c r="L952" s="1">
        <f t="shared" si="100"/>
        <v>35.662265842696627</v>
      </c>
      <c r="M952" s="1">
        <v>-226.36823999999999</v>
      </c>
      <c r="N952" s="1">
        <v>-29.15457</v>
      </c>
    </row>
    <row r="953" spans="1:14" x14ac:dyDescent="0.4">
      <c r="B953" s="1">
        <v>48.049999999999898</v>
      </c>
      <c r="C953" s="1" t="s">
        <v>964</v>
      </c>
      <c r="D953" s="3">
        <f t="shared" si="106"/>
        <v>1928.6922859000001</v>
      </c>
      <c r="E953" s="1">
        <v>389.00830000000002</v>
      </c>
      <c r="F953" s="1">
        <v>19.680499999999999</v>
      </c>
      <c r="G953" s="1">
        <v>21.074100000000001</v>
      </c>
      <c r="H953" s="1">
        <v>41.877299999999998</v>
      </c>
      <c r="I953" s="1">
        <v>99.529700000000005</v>
      </c>
      <c r="J953" s="1">
        <f t="shared" si="99"/>
        <v>84.747384600000004</v>
      </c>
      <c r="K953" s="1">
        <v>3.6685600000000136</v>
      </c>
      <c r="L953" s="1">
        <f t="shared" si="100"/>
        <v>341.39740977528095</v>
      </c>
      <c r="M953" s="1">
        <v>-218.40459000000001</v>
      </c>
      <c r="N953" s="1">
        <v>-28.284829999999999</v>
      </c>
    </row>
    <row r="954" spans="1:14" x14ac:dyDescent="0.4">
      <c r="B954" s="1">
        <v>48.099999999999902</v>
      </c>
      <c r="C954" s="1" t="s">
        <v>965</v>
      </c>
      <c r="D954" s="3">
        <f t="shared" si="106"/>
        <v>1928.6153628000002</v>
      </c>
      <c r="E954" s="1">
        <v>346.1823</v>
      </c>
      <c r="F954" s="1">
        <v>4.7224000000000004</v>
      </c>
      <c r="G954" s="1">
        <v>11.4733</v>
      </c>
      <c r="H954" s="1">
        <v>49.619700000000002</v>
      </c>
      <c r="I954" s="1">
        <v>82.105599999999995</v>
      </c>
      <c r="J954" s="1">
        <f t="shared" si="99"/>
        <v>68.95067259999999</v>
      </c>
      <c r="K954" s="1">
        <v>7.8978099999999927</v>
      </c>
      <c r="L954" s="1">
        <f t="shared" si="100"/>
        <v>307.44596707865168</v>
      </c>
      <c r="M954" s="1">
        <v>-217.18781000000001</v>
      </c>
      <c r="N954" s="1">
        <v>-28.118590000000001</v>
      </c>
    </row>
    <row r="955" spans="1:14" x14ac:dyDescent="0.4">
      <c r="B955" s="1">
        <v>48.149999999999899</v>
      </c>
      <c r="C955" s="1" t="s">
        <v>966</v>
      </c>
      <c r="D955" s="3">
        <f t="shared" si="106"/>
        <v>1928.5384397000003</v>
      </c>
      <c r="E955" s="1">
        <v>62.0441</v>
      </c>
      <c r="F955" s="1">
        <v>11.8454</v>
      </c>
      <c r="G955" s="1">
        <v>5.8395999999999999</v>
      </c>
      <c r="H955" s="1">
        <v>10.731199999999999</v>
      </c>
      <c r="I955" s="1">
        <v>57.201000000000001</v>
      </c>
      <c r="J955" s="1">
        <f t="shared" si="99"/>
        <v>54.843324199999998</v>
      </c>
      <c r="K955" s="1">
        <v>6.8683200000000113</v>
      </c>
      <c r="L955" s="1">
        <f t="shared" si="100"/>
        <v>31.233243707865171</v>
      </c>
      <c r="M955" s="1">
        <v>-219.19084000000001</v>
      </c>
      <c r="N955" s="1">
        <v>-28.430599999999998</v>
      </c>
    </row>
    <row r="956" spans="1:14" x14ac:dyDescent="0.4">
      <c r="B956" s="1">
        <v>48.199999999999903</v>
      </c>
      <c r="C956" s="1" t="s">
        <v>967</v>
      </c>
      <c r="D956" s="3">
        <f t="shared" si="106"/>
        <v>1928.4615166000003</v>
      </c>
      <c r="E956" s="1">
        <v>49.547699999999999</v>
      </c>
      <c r="F956" s="1">
        <v>13.8102</v>
      </c>
      <c r="G956" s="1">
        <v>3.2684000000000002</v>
      </c>
      <c r="H956" s="1">
        <v>15.492800000000001</v>
      </c>
      <c r="I956" s="1">
        <v>41.971400000000003</v>
      </c>
      <c r="J956" s="1">
        <f t="shared" si="99"/>
        <v>40.088587400000002</v>
      </c>
      <c r="K956" s="1">
        <v>7.8740499999999827</v>
      </c>
      <c r="L956" s="1">
        <f t="shared" si="100"/>
        <v>27.026021685393257</v>
      </c>
      <c r="M956" s="1">
        <v>-226.36652000000001</v>
      </c>
      <c r="N956" s="1">
        <v>-29.400110000000002</v>
      </c>
    </row>
    <row r="957" spans="1:14" x14ac:dyDescent="0.4">
      <c r="B957" s="1">
        <v>48.249999999999901</v>
      </c>
      <c r="C957" s="1" t="s">
        <v>968</v>
      </c>
      <c r="D957" s="3">
        <f t="shared" si="106"/>
        <v>1928.3845935000002</v>
      </c>
      <c r="E957" s="1">
        <v>20.392700000000001</v>
      </c>
      <c r="F957" s="1">
        <v>7.9082999999999997</v>
      </c>
      <c r="G957" s="1">
        <v>1.7028000000000001</v>
      </c>
      <c r="H957" s="1">
        <v>5.6383999999999999</v>
      </c>
      <c r="I957" s="1">
        <v>65.919300000000007</v>
      </c>
      <c r="J957" s="1">
        <f t="shared" si="99"/>
        <v>65.14437740000001</v>
      </c>
      <c r="K957" s="1">
        <v>7.7609099999999955</v>
      </c>
      <c r="L957" s="1">
        <f t="shared" si="100"/>
        <v>-16.205264831460678</v>
      </c>
      <c r="M957" s="1">
        <v>-238.39039</v>
      </c>
      <c r="N957" s="1">
        <v>-30.607710000000001</v>
      </c>
    </row>
    <row r="958" spans="1:14" x14ac:dyDescent="0.4">
      <c r="B958" s="1">
        <v>48.299999999999898</v>
      </c>
      <c r="C958" s="1" t="s">
        <v>969</v>
      </c>
      <c r="D958" s="3">
        <f t="shared" si="106"/>
        <v>1928.3076704000002</v>
      </c>
      <c r="E958" s="1">
        <v>83.670900000000003</v>
      </c>
      <c r="F958" s="1">
        <v>4.3197999999999999</v>
      </c>
      <c r="G958" s="1">
        <v>5.8940000000000001</v>
      </c>
      <c r="H958" s="1">
        <v>18.755500000000001</v>
      </c>
      <c r="I958" s="1">
        <v>49.955100000000002</v>
      </c>
      <c r="J958" s="1">
        <f t="shared" si="99"/>
        <v>46.775605800000001</v>
      </c>
      <c r="K958" s="1">
        <v>8.253959999999978</v>
      </c>
      <c r="L958" s="1">
        <f t="shared" si="100"/>
        <v>57.392469775280901</v>
      </c>
      <c r="M958" s="1">
        <v>-244.42542</v>
      </c>
      <c r="N958" s="1">
        <v>-31.563020000000002</v>
      </c>
    </row>
    <row r="959" spans="1:14" x14ac:dyDescent="0.4">
      <c r="B959" s="1">
        <v>48.349999999999902</v>
      </c>
      <c r="C959" s="1" t="s">
        <v>970</v>
      </c>
      <c r="D959" s="3">
        <f t="shared" si="106"/>
        <v>1928.2307473000003</v>
      </c>
      <c r="E959" s="1">
        <v>13.3164</v>
      </c>
      <c r="F959" s="1">
        <v>16.172599999999999</v>
      </c>
      <c r="G959" s="1">
        <v>3.7915000000000001</v>
      </c>
      <c r="H959" s="1">
        <v>1.4401999999999999</v>
      </c>
      <c r="I959" s="1">
        <v>35.092500000000001</v>
      </c>
      <c r="J959" s="1">
        <f t="shared" si="99"/>
        <v>34.5864768</v>
      </c>
      <c r="K959" s="1">
        <v>8.8343600000000038</v>
      </c>
      <c r="L959" s="1">
        <f t="shared" si="100"/>
        <v>-6.1142049438202246</v>
      </c>
      <c r="M959" s="1">
        <v>-249.88855000000001</v>
      </c>
      <c r="N959" s="1">
        <v>-32.025669999999998</v>
      </c>
    </row>
    <row r="960" spans="1:14" x14ac:dyDescent="0.4">
      <c r="B960" s="1">
        <v>48.399999999999899</v>
      </c>
      <c r="C960" s="1" t="s">
        <v>971</v>
      </c>
      <c r="D960" s="3">
        <f t="shared" si="106"/>
        <v>1928.1538242000001</v>
      </c>
      <c r="E960" s="1">
        <v>43.115099999999998</v>
      </c>
      <c r="F960" s="1">
        <v>4.5586000000000002</v>
      </c>
      <c r="G960" s="1">
        <v>6.2117000000000004</v>
      </c>
      <c r="H960" s="1">
        <v>13.760199999999999</v>
      </c>
      <c r="I960" s="1">
        <v>82.768900000000002</v>
      </c>
      <c r="J960" s="1">
        <f t="shared" si="99"/>
        <v>81.130526200000006</v>
      </c>
      <c r="K960" s="1">
        <v>6.4712900000000104</v>
      </c>
      <c r="L960" s="1">
        <f t="shared" si="100"/>
        <v>-2.4638473033707911</v>
      </c>
      <c r="M960" s="1">
        <v>-251.59299999999999</v>
      </c>
      <c r="N960" s="1">
        <v>-32.181359999999998</v>
      </c>
    </row>
    <row r="961" spans="1:14" x14ac:dyDescent="0.4">
      <c r="B961" s="1">
        <v>48.449999999999903</v>
      </c>
      <c r="C961" s="1" t="s">
        <v>972</v>
      </c>
      <c r="D961" s="3">
        <f t="shared" si="106"/>
        <v>1928.0769011000002</v>
      </c>
      <c r="E961" s="1">
        <v>25.7197</v>
      </c>
      <c r="F961" s="1">
        <v>6.2283999999999997</v>
      </c>
      <c r="G961" s="1">
        <v>4.0270999999999999</v>
      </c>
      <c r="H961" s="1">
        <v>5.1990999999999996</v>
      </c>
      <c r="I961" s="1">
        <v>57.204999999999998</v>
      </c>
      <c r="J961" s="1">
        <f t="shared" si="99"/>
        <v>56.227651399999999</v>
      </c>
      <c r="K961" s="1">
        <v>8.0787400000000105</v>
      </c>
      <c r="L961" s="1">
        <f t="shared" si="100"/>
        <v>-5.8688682022471887</v>
      </c>
      <c r="M961" s="1">
        <v>-250.47842</v>
      </c>
      <c r="N961" s="1">
        <v>-32.047049999999999</v>
      </c>
    </row>
    <row r="962" spans="1:14" x14ac:dyDescent="0.4">
      <c r="A962" s="1">
        <v>1928</v>
      </c>
      <c r="B962" s="1">
        <v>48.499999999999901</v>
      </c>
      <c r="C962" s="1" t="s">
        <v>973</v>
      </c>
      <c r="D962" s="3">
        <f>-2*B962+2025</f>
        <v>1928.0000000000002</v>
      </c>
      <c r="E962" s="1">
        <v>72.212199999999996</v>
      </c>
      <c r="F962" s="1">
        <v>6.0605000000000002</v>
      </c>
      <c r="G962" s="1">
        <v>8.7652999999999999</v>
      </c>
      <c r="H962" s="1">
        <v>9.41</v>
      </c>
      <c r="I962" s="1">
        <v>133.89250000000001</v>
      </c>
      <c r="J962" s="1">
        <f t="shared" si="99"/>
        <v>131.14843640000001</v>
      </c>
      <c r="K962" s="1">
        <v>6.3168099999999754</v>
      </c>
      <c r="L962" s="1">
        <f t="shared" si="100"/>
        <v>-1.4666968539325893</v>
      </c>
      <c r="M962" s="1">
        <v>-248.30611999999999</v>
      </c>
      <c r="N962" s="1">
        <v>-31.704039999999999</v>
      </c>
    </row>
    <row r="963" spans="1:14" x14ac:dyDescent="0.4">
      <c r="B963" s="1">
        <v>48.549999999999898</v>
      </c>
      <c r="C963" s="1" t="s">
        <v>974</v>
      </c>
      <c r="D963" s="3">
        <f t="shared" ref="D963:D971" si="107">-2*B963+2025</f>
        <v>1927.9</v>
      </c>
      <c r="E963" s="1">
        <v>49.610599999999998</v>
      </c>
      <c r="F963" s="1">
        <v>27.082000000000001</v>
      </c>
      <c r="G963" s="1">
        <v>35.3307</v>
      </c>
      <c r="H963" s="1">
        <v>7.0782999999999996</v>
      </c>
      <c r="I963" s="1">
        <v>173.53720000000001</v>
      </c>
      <c r="J963" s="1">
        <f t="shared" ref="J963:J1026" si="108">I963-0.038*E963</f>
        <v>171.65199720000001</v>
      </c>
      <c r="K963" s="1">
        <v>5.8578799999999944</v>
      </c>
      <c r="L963" s="1">
        <f t="shared" ref="L963:L1026" si="109">E963-(J963/1.78)</f>
        <v>-46.823106292134831</v>
      </c>
      <c r="M963" s="1">
        <v>-242.70304999999999</v>
      </c>
      <c r="N963" s="1">
        <v>-30.840060000000001</v>
      </c>
    </row>
    <row r="964" spans="1:14" x14ac:dyDescent="0.4">
      <c r="B964" s="1">
        <v>48.599999999999902</v>
      </c>
      <c r="C964" s="1" t="s">
        <v>975</v>
      </c>
      <c r="D964" s="3">
        <f t="shared" si="107"/>
        <v>1927.8000000000002</v>
      </c>
      <c r="E964" s="1">
        <v>34.070599999999999</v>
      </c>
      <c r="F964" s="1">
        <v>9.7830999999999992</v>
      </c>
      <c r="G964" s="1">
        <v>3.1863000000000001</v>
      </c>
      <c r="H964" s="1">
        <v>12.603899999999999</v>
      </c>
      <c r="I964" s="1">
        <v>55.336100000000002</v>
      </c>
      <c r="J964" s="1">
        <f t="shared" si="108"/>
        <v>54.041417200000005</v>
      </c>
      <c r="K964" s="1">
        <v>5.8979799999999898</v>
      </c>
      <c r="L964" s="1">
        <f t="shared" si="109"/>
        <v>3.7102532584269632</v>
      </c>
      <c r="M964" s="1">
        <v>-226.69077999999999</v>
      </c>
      <c r="N964" s="1">
        <v>-28.925180000000001</v>
      </c>
    </row>
    <row r="965" spans="1:14" x14ac:dyDescent="0.4">
      <c r="B965" s="1">
        <v>48.649999999999899</v>
      </c>
      <c r="C965" s="1" t="s">
        <v>976</v>
      </c>
      <c r="D965" s="3">
        <f t="shared" si="107"/>
        <v>1927.7000000000003</v>
      </c>
      <c r="E965" s="1">
        <v>16.462399999999999</v>
      </c>
      <c r="F965" s="1">
        <v>9.4149999999999991</v>
      </c>
      <c r="G965" s="1">
        <v>8.2703000000000007</v>
      </c>
      <c r="H965" s="1">
        <v>3.6484000000000001</v>
      </c>
      <c r="I965" s="1">
        <v>78.817899999999995</v>
      </c>
      <c r="J965" s="1">
        <f t="shared" si="108"/>
        <v>78.192328799999999</v>
      </c>
      <c r="K965" s="1">
        <v>5.3262</v>
      </c>
      <c r="L965" s="1">
        <f t="shared" si="109"/>
        <v>-27.465874606741576</v>
      </c>
      <c r="M965" s="1">
        <v>-225.12290999999999</v>
      </c>
      <c r="N965" s="1">
        <v>-28.903210000000001</v>
      </c>
    </row>
    <row r="966" spans="1:14" x14ac:dyDescent="0.4">
      <c r="B966" s="1">
        <v>48.699999999999903</v>
      </c>
      <c r="C966" s="1" t="s">
        <v>977</v>
      </c>
      <c r="D966" s="3">
        <f t="shared" si="107"/>
        <v>1927.6000000000001</v>
      </c>
      <c r="E966" s="1">
        <v>89.0381</v>
      </c>
      <c r="F966" s="1">
        <v>4.8756000000000004</v>
      </c>
      <c r="G966" s="1">
        <v>3.7147000000000001</v>
      </c>
      <c r="H966" s="1">
        <v>20.9985</v>
      </c>
      <c r="I966" s="1">
        <v>59.764400000000002</v>
      </c>
      <c r="J966" s="1">
        <f t="shared" si="108"/>
        <v>56.380952200000003</v>
      </c>
      <c r="K966" s="1">
        <v>4.0174300000000187</v>
      </c>
      <c r="L966" s="1">
        <f t="shared" si="109"/>
        <v>57.363407752808989</v>
      </c>
      <c r="M966" s="1">
        <v>-218.78359</v>
      </c>
      <c r="N966" s="1">
        <v>-28.040510000000001</v>
      </c>
    </row>
    <row r="967" spans="1:14" x14ac:dyDescent="0.4">
      <c r="B967" s="1">
        <v>48.749999999999901</v>
      </c>
      <c r="C967" s="1" t="s">
        <v>978</v>
      </c>
      <c r="D967" s="3">
        <f t="shared" si="107"/>
        <v>1927.5000000000002</v>
      </c>
      <c r="E967" s="1">
        <v>173.20330000000001</v>
      </c>
      <c r="F967" s="1">
        <v>32.417400000000001</v>
      </c>
      <c r="G967" s="1">
        <v>12.6799</v>
      </c>
      <c r="H967" s="1">
        <v>23.801300000000001</v>
      </c>
      <c r="I967" s="1">
        <v>155.8612</v>
      </c>
      <c r="J967" s="1">
        <f t="shared" si="108"/>
        <v>149.27947459999999</v>
      </c>
      <c r="K967" s="1">
        <v>4.7106600000000185</v>
      </c>
      <c r="L967" s="1">
        <f t="shared" si="109"/>
        <v>89.338426629213501</v>
      </c>
      <c r="M967" s="1">
        <v>-217.33166</v>
      </c>
      <c r="N967" s="1">
        <v>-27.7133</v>
      </c>
    </row>
    <row r="968" spans="1:14" x14ac:dyDescent="0.4">
      <c r="B968" s="1">
        <v>48.799999999999898</v>
      </c>
      <c r="C968" s="1" t="s">
        <v>979</v>
      </c>
      <c r="D968" s="3">
        <f t="shared" si="107"/>
        <v>1927.4</v>
      </c>
      <c r="E968" s="1">
        <v>148.40090000000001</v>
      </c>
      <c r="F968" s="1">
        <v>2.3290999999999999</v>
      </c>
      <c r="G968" s="1">
        <v>2.0615000000000001</v>
      </c>
      <c r="H968" s="1">
        <v>22.556000000000001</v>
      </c>
      <c r="I968" s="1">
        <v>45.155700000000003</v>
      </c>
      <c r="J968" s="1">
        <f t="shared" si="108"/>
        <v>39.516465800000006</v>
      </c>
      <c r="K968" s="1">
        <v>6.1027700000000209</v>
      </c>
      <c r="L968" s="1">
        <f t="shared" si="109"/>
        <v>126.20063831460675</v>
      </c>
      <c r="M968" s="1">
        <v>-224.61872</v>
      </c>
      <c r="N968" s="1">
        <v>-28.700050000000001</v>
      </c>
    </row>
    <row r="969" spans="1:14" x14ac:dyDescent="0.4">
      <c r="B969" s="1">
        <v>48.849999999999902</v>
      </c>
      <c r="C969" s="1" t="s">
        <v>980</v>
      </c>
      <c r="D969" s="3">
        <f t="shared" si="107"/>
        <v>1927.3000000000002</v>
      </c>
      <c r="E969" s="1">
        <v>48.349299999999999</v>
      </c>
      <c r="F969" s="1">
        <v>18.858899999999998</v>
      </c>
      <c r="G969" s="1">
        <v>6.9466999999999999</v>
      </c>
      <c r="H969" s="1">
        <v>13.84</v>
      </c>
      <c r="I969" s="1">
        <v>86.404799999999994</v>
      </c>
      <c r="J969" s="1">
        <f t="shared" si="108"/>
        <v>84.567526599999994</v>
      </c>
      <c r="K969" s="1">
        <v>5.5404900000000055</v>
      </c>
      <c r="L969" s="1">
        <f t="shared" si="109"/>
        <v>0.83945359550562415</v>
      </c>
      <c r="M969" s="1">
        <v>-232.01424</v>
      </c>
      <c r="N969" s="1">
        <v>-29.583030000000001</v>
      </c>
    </row>
    <row r="970" spans="1:14" x14ac:dyDescent="0.4">
      <c r="B970" s="1">
        <v>48.8999999999998</v>
      </c>
      <c r="C970" s="1" t="s">
        <v>981</v>
      </c>
      <c r="D970" s="3">
        <f t="shared" si="107"/>
        <v>1927.2000000000005</v>
      </c>
      <c r="E970" s="1">
        <v>28.938600000000001</v>
      </c>
      <c r="F970" s="1">
        <v>17.838899999999999</v>
      </c>
      <c r="G970" s="1">
        <v>3.5297000000000001</v>
      </c>
      <c r="H970" s="1">
        <v>53.8536</v>
      </c>
      <c r="I970" s="1">
        <v>22.799499999999998</v>
      </c>
      <c r="J970" s="1">
        <f t="shared" si="108"/>
        <v>21.699833199999997</v>
      </c>
      <c r="K970" s="1">
        <v>4.3747400000000027</v>
      </c>
      <c r="L970" s="1">
        <f t="shared" si="109"/>
        <v>16.747682471910117</v>
      </c>
      <c r="M970" s="1">
        <v>-237.81085999999999</v>
      </c>
      <c r="N970" s="1">
        <v>-30.305679999999999</v>
      </c>
    </row>
    <row r="971" spans="1:14" x14ac:dyDescent="0.4">
      <c r="B971" s="1">
        <v>48.949999999999797</v>
      </c>
      <c r="C971" s="1" t="s">
        <v>982</v>
      </c>
      <c r="D971" s="3">
        <f t="shared" si="107"/>
        <v>1927.1000000000004</v>
      </c>
      <c r="E971" s="1">
        <v>23.043199999999999</v>
      </c>
      <c r="F971" s="1">
        <v>50.500300000000003</v>
      </c>
      <c r="G971" s="1">
        <v>6.2507000000000001</v>
      </c>
      <c r="H971" s="1">
        <v>12.2163</v>
      </c>
      <c r="I971" s="1">
        <v>130.99</v>
      </c>
      <c r="J971" s="1">
        <f t="shared" si="108"/>
        <v>130.11435840000001</v>
      </c>
      <c r="K971" s="1">
        <v>4.9816800000000114</v>
      </c>
      <c r="L971" s="1">
        <f t="shared" si="109"/>
        <v>-50.054754157303378</v>
      </c>
      <c r="M971" s="1">
        <v>-240.94203999999999</v>
      </c>
      <c r="N971" s="1">
        <v>-30.646570000000001</v>
      </c>
    </row>
    <row r="972" spans="1:14" x14ac:dyDescent="0.4">
      <c r="A972" s="1">
        <v>1927</v>
      </c>
      <c r="B972" s="1">
        <v>48.999999999999801</v>
      </c>
      <c r="C972" s="1" t="s">
        <v>983</v>
      </c>
      <c r="D972" s="3">
        <f>-1.33333*B972+1992.33333</f>
        <v>1927.0001600000003</v>
      </c>
      <c r="E972" s="1">
        <v>12.6632</v>
      </c>
      <c r="F972" s="1">
        <v>6.1430999999999996</v>
      </c>
      <c r="G972" s="1">
        <v>1.9131</v>
      </c>
      <c r="H972" s="1">
        <v>4.4001000000000001</v>
      </c>
      <c r="I972" s="1">
        <v>56.651299999999999</v>
      </c>
      <c r="J972" s="1">
        <f t="shared" si="108"/>
        <v>56.170098400000001</v>
      </c>
      <c r="K972" s="1">
        <v>4.6500000000000057</v>
      </c>
      <c r="L972" s="1">
        <f t="shared" si="109"/>
        <v>-18.893035056179777</v>
      </c>
      <c r="M972" s="1">
        <v>-235.21364</v>
      </c>
      <c r="N972" s="1">
        <v>-29.966360000000002</v>
      </c>
    </row>
    <row r="973" spans="1:14" x14ac:dyDescent="0.4">
      <c r="B973" s="1">
        <v>49.049999999999798</v>
      </c>
      <c r="C973" s="1" t="s">
        <v>984</v>
      </c>
      <c r="D973" s="3">
        <f t="shared" ref="D973:D986" si="110">-1.33333*B973+1992.33333</f>
        <v>1926.9334935000002</v>
      </c>
      <c r="E973" s="1">
        <v>14.5251</v>
      </c>
      <c r="F973" s="1">
        <v>9.6686999999999994</v>
      </c>
      <c r="G973" s="1">
        <v>3.5788000000000002</v>
      </c>
      <c r="H973" s="1">
        <v>4.1493000000000002</v>
      </c>
      <c r="I973" s="1">
        <v>46.76</v>
      </c>
      <c r="J973" s="1">
        <f t="shared" si="108"/>
        <v>46.208046199999998</v>
      </c>
      <c r="K973" s="1">
        <v>4.6345799999999997</v>
      </c>
      <c r="L973" s="1">
        <f t="shared" si="109"/>
        <v>-11.434476516853932</v>
      </c>
      <c r="M973" s="1">
        <v>-227.66372000000001</v>
      </c>
      <c r="N973" s="1">
        <v>-28.99522</v>
      </c>
    </row>
    <row r="974" spans="1:14" x14ac:dyDescent="0.4">
      <c r="B974" s="1">
        <v>49.099999999999802</v>
      </c>
      <c r="C974" s="1" t="s">
        <v>985</v>
      </c>
      <c r="D974" s="3">
        <f t="shared" si="110"/>
        <v>1926.8668270000003</v>
      </c>
      <c r="E974" s="1">
        <v>69.237300000000005</v>
      </c>
      <c r="F974" s="1">
        <v>14.8992</v>
      </c>
      <c r="G974" s="1">
        <v>14.446199999999999</v>
      </c>
      <c r="H974" s="1">
        <v>14.895799999999999</v>
      </c>
      <c r="I974" s="1">
        <v>81.774199999999993</v>
      </c>
      <c r="J974" s="1">
        <f t="shared" si="108"/>
        <v>79.143182599999989</v>
      </c>
      <c r="K974" s="1">
        <v>4.2305200000000127</v>
      </c>
      <c r="L974" s="1">
        <f t="shared" si="109"/>
        <v>24.77483786516855</v>
      </c>
      <c r="M974" s="1">
        <v>-212.71977000000001</v>
      </c>
      <c r="N974" s="1">
        <v>-27.796790000000001</v>
      </c>
    </row>
    <row r="975" spans="1:14" x14ac:dyDescent="0.4">
      <c r="B975" s="1">
        <v>49.1499999999998</v>
      </c>
      <c r="C975" s="1" t="s">
        <v>986</v>
      </c>
      <c r="D975" s="3">
        <f t="shared" si="110"/>
        <v>1926.8001605000002</v>
      </c>
      <c r="E975" s="1">
        <v>27.728000000000002</v>
      </c>
      <c r="F975" s="1">
        <v>7.1345000000000001</v>
      </c>
      <c r="G975" s="1">
        <v>8.9128000000000007</v>
      </c>
      <c r="H975" s="1">
        <v>2.8879000000000001</v>
      </c>
      <c r="I975" s="1">
        <v>83.9636</v>
      </c>
      <c r="J975" s="1">
        <f t="shared" si="108"/>
        <v>82.909936000000002</v>
      </c>
      <c r="K975" s="1">
        <v>4.5172400000000152</v>
      </c>
      <c r="L975" s="1">
        <f t="shared" si="109"/>
        <v>-18.850615730337076</v>
      </c>
      <c r="M975" s="1">
        <v>-209.80722</v>
      </c>
      <c r="N975" s="1">
        <v>-27.295909999999999</v>
      </c>
    </row>
    <row r="976" spans="1:14" x14ac:dyDescent="0.4">
      <c r="B976" s="1">
        <v>49.199999999999797</v>
      </c>
      <c r="C976" s="1" t="s">
        <v>987</v>
      </c>
      <c r="D976" s="3">
        <f t="shared" si="110"/>
        <v>1926.7334940000003</v>
      </c>
      <c r="E976" s="1">
        <v>76.008700000000005</v>
      </c>
      <c r="F976" s="1">
        <v>10.1602</v>
      </c>
      <c r="G976" s="1">
        <v>3.91</v>
      </c>
      <c r="H976" s="1">
        <v>11.199199999999999</v>
      </c>
      <c r="I976" s="1">
        <v>33.386099999999999</v>
      </c>
      <c r="J976" s="1">
        <f t="shared" si="108"/>
        <v>30.497769399999999</v>
      </c>
      <c r="K976" s="1">
        <v>4.2980399999999861</v>
      </c>
      <c r="L976" s="1">
        <f t="shared" si="109"/>
        <v>58.875121685393268</v>
      </c>
      <c r="M976" s="1">
        <v>-206.75326000000001</v>
      </c>
      <c r="N976" s="1">
        <v>-27.049569999999999</v>
      </c>
    </row>
    <row r="977" spans="1:14" x14ac:dyDescent="0.4">
      <c r="B977" s="1">
        <v>49.249999999999801</v>
      </c>
      <c r="C977" s="1" t="s">
        <v>988</v>
      </c>
      <c r="D977" s="3">
        <f t="shared" si="110"/>
        <v>1926.6668275000002</v>
      </c>
      <c r="E977" s="1">
        <v>31.4008</v>
      </c>
      <c r="F977" s="1">
        <v>59.8842</v>
      </c>
      <c r="G977" s="1">
        <v>5.2224000000000004</v>
      </c>
      <c r="H977" s="1">
        <v>6.3742999999999999</v>
      </c>
      <c r="I977" s="1">
        <v>45.024500000000003</v>
      </c>
      <c r="J977" s="1">
        <f t="shared" si="108"/>
        <v>43.831269600000006</v>
      </c>
      <c r="K977" s="1">
        <v>9.6545500000000004</v>
      </c>
      <c r="L977" s="1">
        <f t="shared" si="109"/>
        <v>6.7764912359550529</v>
      </c>
      <c r="M977" s="1">
        <v>-205.90950000000001</v>
      </c>
      <c r="N977" s="1">
        <v>-26.972259999999999</v>
      </c>
    </row>
    <row r="978" spans="1:14" x14ac:dyDescent="0.4">
      <c r="B978" s="1">
        <v>49.299999999999798</v>
      </c>
      <c r="C978" s="1" t="s">
        <v>989</v>
      </c>
      <c r="D978" s="3">
        <f t="shared" si="110"/>
        <v>1926.6001610000003</v>
      </c>
      <c r="E978" s="1">
        <v>86.531700000000001</v>
      </c>
      <c r="F978" s="1">
        <v>8.9338999999999995</v>
      </c>
      <c r="G978" s="1">
        <v>17.2972</v>
      </c>
      <c r="H978" s="1">
        <v>12.420299999999999</v>
      </c>
      <c r="I978" s="1">
        <v>53.174900000000001</v>
      </c>
      <c r="J978" s="1">
        <f t="shared" si="108"/>
        <v>49.886695400000001</v>
      </c>
      <c r="K978" s="1">
        <v>8.5600599999999929</v>
      </c>
      <c r="L978" s="1">
        <f t="shared" si="109"/>
        <v>58.505466629213487</v>
      </c>
      <c r="M978" s="1">
        <v>-206.85656</v>
      </c>
      <c r="N978" s="1">
        <v>-27.117809999999999</v>
      </c>
    </row>
    <row r="979" spans="1:14" x14ac:dyDescent="0.4">
      <c r="B979" s="1">
        <v>49.349999999999802</v>
      </c>
      <c r="C979" s="1" t="s">
        <v>990</v>
      </c>
      <c r="D979" s="3">
        <f t="shared" si="110"/>
        <v>1926.5334945000002</v>
      </c>
      <c r="E979" s="1">
        <v>57.968000000000004</v>
      </c>
      <c r="F979" s="1">
        <v>22.092400000000001</v>
      </c>
      <c r="G979" s="1">
        <v>34.653399999999998</v>
      </c>
      <c r="H979" s="1">
        <v>8.3770000000000007</v>
      </c>
      <c r="I979" s="1">
        <v>50.137999999999998</v>
      </c>
      <c r="J979" s="1">
        <f t="shared" si="108"/>
        <v>47.935215999999997</v>
      </c>
      <c r="K979" s="1">
        <v>9.6432999999999822</v>
      </c>
      <c r="L979" s="1">
        <f t="shared" si="109"/>
        <v>31.038103370786523</v>
      </c>
      <c r="M979" s="1">
        <v>-212.06027</v>
      </c>
      <c r="N979" s="1">
        <v>-27.489350000000002</v>
      </c>
    </row>
    <row r="980" spans="1:14" x14ac:dyDescent="0.4">
      <c r="B980" s="1">
        <v>49.3999999999998</v>
      </c>
      <c r="C980" s="1" t="s">
        <v>991</v>
      </c>
      <c r="D980" s="3">
        <f t="shared" si="110"/>
        <v>1926.4668280000003</v>
      </c>
      <c r="E980" s="1">
        <v>27.359500000000001</v>
      </c>
      <c r="F980" s="1">
        <v>10.127800000000001</v>
      </c>
      <c r="G980" s="1">
        <v>4.5580999999999996</v>
      </c>
      <c r="H980" s="1">
        <v>5.5171000000000001</v>
      </c>
      <c r="I980" s="1">
        <v>104.0534</v>
      </c>
      <c r="J980" s="1">
        <f t="shared" si="108"/>
        <v>103.013739</v>
      </c>
      <c r="K980" s="1">
        <v>9.8685799999999801</v>
      </c>
      <c r="L980" s="1">
        <f t="shared" si="109"/>
        <v>-30.513387078651686</v>
      </c>
      <c r="M980" s="1">
        <v>-215.18176</v>
      </c>
      <c r="N980" s="1">
        <v>-27.887650000000001</v>
      </c>
    </row>
    <row r="981" spans="1:14" x14ac:dyDescent="0.4">
      <c r="B981" s="1">
        <v>49.449999999999797</v>
      </c>
      <c r="C981" s="1" t="s">
        <v>992</v>
      </c>
      <c r="D981" s="3">
        <f t="shared" si="110"/>
        <v>1926.4001615000002</v>
      </c>
      <c r="E981" s="1">
        <v>61.832500000000003</v>
      </c>
      <c r="F981" s="1">
        <v>15.4221</v>
      </c>
      <c r="G981" s="1">
        <v>7.6182999999999996</v>
      </c>
      <c r="H981" s="1">
        <v>15.576700000000001</v>
      </c>
      <c r="I981" s="1">
        <v>98.145499999999998</v>
      </c>
      <c r="J981" s="1">
        <f t="shared" si="108"/>
        <v>95.795864999999992</v>
      </c>
      <c r="K981" s="1">
        <v>10.085919999999987</v>
      </c>
      <c r="L981" s="1">
        <f t="shared" si="109"/>
        <v>8.0145983146067508</v>
      </c>
      <c r="M981" s="1">
        <v>-219.71922000000001</v>
      </c>
      <c r="N981" s="1">
        <v>-28.293420000000001</v>
      </c>
    </row>
    <row r="982" spans="1:14" x14ac:dyDescent="0.4">
      <c r="B982" s="1">
        <v>49.499999999999801</v>
      </c>
      <c r="C982" s="1" t="s">
        <v>993</v>
      </c>
      <c r="D982" s="3">
        <f t="shared" si="110"/>
        <v>1926.3334950000003</v>
      </c>
      <c r="E982" s="1">
        <v>63.829300000000003</v>
      </c>
      <c r="F982" s="1">
        <v>6.3765999999999998</v>
      </c>
      <c r="G982" s="1">
        <v>3.2738999999999998</v>
      </c>
      <c r="H982" s="1">
        <v>13.1317</v>
      </c>
      <c r="I982" s="1">
        <v>38.407899999999998</v>
      </c>
      <c r="J982" s="1">
        <f t="shared" si="108"/>
        <v>35.982386599999998</v>
      </c>
      <c r="K982" s="1">
        <v>7.8545300000000111</v>
      </c>
      <c r="L982" s="1">
        <f t="shared" si="109"/>
        <v>43.614476067415737</v>
      </c>
      <c r="M982" s="1">
        <v>-221.67177000000001</v>
      </c>
      <c r="N982" s="1">
        <v>-28.763819999999999</v>
      </c>
    </row>
    <row r="983" spans="1:14" x14ac:dyDescent="0.4">
      <c r="B983" s="1">
        <v>49.549999999999798</v>
      </c>
      <c r="C983" s="1" t="s">
        <v>994</v>
      </c>
      <c r="D983" s="3">
        <f t="shared" si="110"/>
        <v>1926.2668285000002</v>
      </c>
      <c r="E983" s="1">
        <v>198.59880000000001</v>
      </c>
      <c r="F983" s="1">
        <v>44.021999999999998</v>
      </c>
      <c r="G983" s="1">
        <v>16.400500000000001</v>
      </c>
      <c r="H983" s="1">
        <v>26.0489</v>
      </c>
      <c r="I983" s="1">
        <v>174.73650000000001</v>
      </c>
      <c r="J983" s="1">
        <f t="shared" si="108"/>
        <v>167.18974560000001</v>
      </c>
      <c r="K983" s="1">
        <v>7.9194400000000087</v>
      </c>
      <c r="L983" s="1">
        <f t="shared" si="109"/>
        <v>104.67197662921349</v>
      </c>
      <c r="M983" s="1">
        <v>-229.20523</v>
      </c>
      <c r="N983" s="1">
        <v>-29.665790000000001</v>
      </c>
    </row>
    <row r="984" spans="1:14" x14ac:dyDescent="0.4">
      <c r="B984" s="1">
        <v>49.599999999999802</v>
      </c>
      <c r="C984" s="1" t="s">
        <v>995</v>
      </c>
      <c r="D984" s="3">
        <f t="shared" si="110"/>
        <v>1926.2001620000001</v>
      </c>
      <c r="E984" s="1">
        <v>111.1969</v>
      </c>
      <c r="F984" s="1">
        <v>26.566800000000001</v>
      </c>
      <c r="G984" s="1">
        <v>12.758599999999999</v>
      </c>
      <c r="H984" s="1">
        <v>23.0152</v>
      </c>
      <c r="I984" s="1">
        <v>49.648699999999998</v>
      </c>
      <c r="J984" s="1">
        <f t="shared" si="108"/>
        <v>45.423217799999996</v>
      </c>
      <c r="K984" s="1">
        <v>6.6281400000000019</v>
      </c>
      <c r="L984" s="1">
        <f t="shared" si="109"/>
        <v>85.678238314606745</v>
      </c>
      <c r="M984" s="1">
        <v>-234.50332</v>
      </c>
      <c r="N984" s="1">
        <v>-30.39622</v>
      </c>
    </row>
    <row r="985" spans="1:14" x14ac:dyDescent="0.4">
      <c r="B985" s="1">
        <v>49.6499999999998</v>
      </c>
      <c r="C985" s="1" t="s">
        <v>996</v>
      </c>
      <c r="D985" s="3">
        <f t="shared" si="110"/>
        <v>1926.1334955000002</v>
      </c>
      <c r="E985" s="1">
        <v>83.579300000000003</v>
      </c>
      <c r="F985" s="1">
        <v>13.118600000000001</v>
      </c>
      <c r="G985" s="1">
        <v>7.4071999999999996</v>
      </c>
      <c r="H985" s="1">
        <v>13.5449</v>
      </c>
      <c r="I985" s="1">
        <v>66.040499999999994</v>
      </c>
      <c r="J985" s="1">
        <f t="shared" si="108"/>
        <v>62.864486599999992</v>
      </c>
      <c r="K985" s="1">
        <v>8.4387899999999831</v>
      </c>
      <c r="L985" s="1">
        <f t="shared" si="109"/>
        <v>48.262172696629221</v>
      </c>
      <c r="M985" s="1">
        <v>-248.87531999999999</v>
      </c>
      <c r="N985" s="1">
        <v>-31.888030000000001</v>
      </c>
    </row>
    <row r="986" spans="1:14" x14ac:dyDescent="0.4">
      <c r="B986" s="1">
        <v>49.699999999999797</v>
      </c>
      <c r="C986" s="1" t="s">
        <v>997</v>
      </c>
      <c r="D986" s="3">
        <f t="shared" si="110"/>
        <v>1926.0668290000003</v>
      </c>
      <c r="E986" s="1">
        <v>59.7059</v>
      </c>
      <c r="F986" s="1">
        <v>16.636600000000001</v>
      </c>
      <c r="G986" s="1">
        <v>5.7752999999999997</v>
      </c>
      <c r="H986" s="1">
        <v>11.879899999999999</v>
      </c>
      <c r="I986" s="1">
        <v>44.426099999999998</v>
      </c>
      <c r="J986" s="1">
        <f t="shared" si="108"/>
        <v>42.157275800000001</v>
      </c>
      <c r="K986" s="1">
        <v>8.1210900000000095</v>
      </c>
      <c r="L986" s="1">
        <f t="shared" si="109"/>
        <v>36.022037191011236</v>
      </c>
      <c r="M986" s="1">
        <v>-260.14855</v>
      </c>
      <c r="N986" s="1">
        <v>-33.021349999999998</v>
      </c>
    </row>
    <row r="987" spans="1:14" x14ac:dyDescent="0.4">
      <c r="A987" s="1">
        <v>1926</v>
      </c>
      <c r="B987" s="1">
        <v>49.749999999999801</v>
      </c>
      <c r="C987" s="1" t="s">
        <v>998</v>
      </c>
      <c r="D987" s="3">
        <f>-1.333333*B987+1992.3333</f>
        <v>1925.9999832500002</v>
      </c>
      <c r="E987" s="1">
        <v>72.598100000000002</v>
      </c>
      <c r="F987" s="1">
        <v>40.400599999999997</v>
      </c>
      <c r="G987" s="1">
        <v>7.3989000000000003</v>
      </c>
      <c r="H987" s="1">
        <v>13.0776</v>
      </c>
      <c r="I987" s="1">
        <v>56.858600000000003</v>
      </c>
      <c r="J987" s="1">
        <f t="shared" si="108"/>
        <v>54.0998722</v>
      </c>
      <c r="K987" s="1">
        <v>8.6664399999999944</v>
      </c>
      <c r="L987" s="1">
        <f t="shared" si="109"/>
        <v>42.204913370786521</v>
      </c>
      <c r="M987" s="1">
        <v>-262.03016000000002</v>
      </c>
      <c r="N987" s="1">
        <v>-32.967239999999997</v>
      </c>
    </row>
    <row r="988" spans="1:14" x14ac:dyDescent="0.4">
      <c r="B988" s="1">
        <v>49.799999999999798</v>
      </c>
      <c r="C988" s="1" t="s">
        <v>999</v>
      </c>
      <c r="D988" s="3">
        <f t="shared" ref="D988:D1001" si="111">-1.333333*B988+1992.3333</f>
        <v>1925.9333166000004</v>
      </c>
      <c r="E988" s="1">
        <v>32.8752</v>
      </c>
      <c r="F988" s="1">
        <v>23.224299999999999</v>
      </c>
      <c r="G988" s="1">
        <v>4.5674999999999999</v>
      </c>
      <c r="H988" s="1">
        <v>64.343999999999994</v>
      </c>
      <c r="I988" s="1">
        <v>22.800799999999999</v>
      </c>
      <c r="J988" s="1">
        <f t="shared" si="108"/>
        <v>21.551542399999999</v>
      </c>
      <c r="K988" s="1">
        <v>6.2289200000000164</v>
      </c>
      <c r="L988" s="1">
        <f t="shared" si="109"/>
        <v>20.767591910112358</v>
      </c>
      <c r="M988" s="1">
        <v>-256.86259999999999</v>
      </c>
      <c r="N988" s="1">
        <v>-32.757539999999999</v>
      </c>
    </row>
    <row r="989" spans="1:14" x14ac:dyDescent="0.4">
      <c r="B989" s="1">
        <v>49.849999999999802</v>
      </c>
      <c r="C989" s="6" t="s">
        <v>1000</v>
      </c>
      <c r="D989" s="3">
        <f t="shared" si="111"/>
        <v>1925.8666499500002</v>
      </c>
      <c r="E989" s="6">
        <v>15.2553</v>
      </c>
      <c r="F989" s="6">
        <v>55.122799999999998</v>
      </c>
      <c r="G989" s="6">
        <v>5.9287999999999998</v>
      </c>
      <c r="H989" s="6">
        <v>6.3247</v>
      </c>
      <c r="I989" s="6">
        <v>51.045000000000002</v>
      </c>
      <c r="J989" s="1">
        <f t="shared" si="108"/>
        <v>50.465298600000004</v>
      </c>
      <c r="K989" s="1">
        <v>4.0222499999999854</v>
      </c>
      <c r="L989" s="1">
        <f t="shared" si="109"/>
        <v>-13.095991348314607</v>
      </c>
      <c r="M989" s="1">
        <v>-252.62805</v>
      </c>
      <c r="N989" s="1">
        <v>-32.207140000000003</v>
      </c>
    </row>
    <row r="990" spans="1:14" x14ac:dyDescent="0.4">
      <c r="B990" s="1">
        <v>49.8999999999998</v>
      </c>
      <c r="C990" s="1" t="s">
        <v>1001</v>
      </c>
      <c r="D990" s="3">
        <f t="shared" si="111"/>
        <v>1925.7999833000003</v>
      </c>
      <c r="E990" s="1">
        <v>45.218600000000002</v>
      </c>
      <c r="F990" s="1">
        <v>7.5926</v>
      </c>
      <c r="G990" s="1">
        <v>5.6247999999999996</v>
      </c>
      <c r="H990" s="1">
        <v>5.3160999999999996</v>
      </c>
      <c r="I990" s="1">
        <v>56.123100000000001</v>
      </c>
      <c r="J990" s="1">
        <f t="shared" si="108"/>
        <v>54.4047932</v>
      </c>
      <c r="K990" s="1">
        <v>1.7077599999999507</v>
      </c>
      <c r="L990" s="1">
        <f t="shared" si="109"/>
        <v>14.654109438202248</v>
      </c>
      <c r="M990" s="1">
        <v>-235.67046999999999</v>
      </c>
      <c r="N990" s="1">
        <v>-30.45459</v>
      </c>
    </row>
    <row r="991" spans="1:14" x14ac:dyDescent="0.4">
      <c r="B991" s="1">
        <v>49.949999999999797</v>
      </c>
      <c r="C991" s="1" t="s">
        <v>1002</v>
      </c>
      <c r="D991" s="3">
        <f t="shared" si="111"/>
        <v>1925.7333166500002</v>
      </c>
      <c r="E991" s="1">
        <v>36.243299999999998</v>
      </c>
      <c r="F991" s="1">
        <v>27.7453</v>
      </c>
      <c r="G991" s="1">
        <v>15.401</v>
      </c>
      <c r="H991" s="1">
        <v>5.5673000000000004</v>
      </c>
      <c r="I991" s="1">
        <v>72.398499999999999</v>
      </c>
      <c r="J991" s="1">
        <f t="shared" si="108"/>
        <v>71.021254599999992</v>
      </c>
      <c r="K991" s="1">
        <v>5.1977200000000039</v>
      </c>
      <c r="L991" s="1">
        <f t="shared" si="109"/>
        <v>-3.6562812359550563</v>
      </c>
      <c r="M991" s="1">
        <v>-207.63087999999999</v>
      </c>
      <c r="N991" s="1">
        <v>-27.257449999999999</v>
      </c>
    </row>
    <row r="992" spans="1:14" x14ac:dyDescent="0.4">
      <c r="B992" s="1">
        <v>49.999999999999801</v>
      </c>
      <c r="C992" s="1" t="s">
        <v>1003</v>
      </c>
      <c r="D992" s="3">
        <f t="shared" si="111"/>
        <v>1925.6666500000003</v>
      </c>
      <c r="E992" s="1">
        <v>56.746099999999998</v>
      </c>
      <c r="F992" s="1">
        <v>12.672700000000001</v>
      </c>
      <c r="G992" s="1">
        <v>2.3647999999999998</v>
      </c>
      <c r="H992" s="1">
        <v>16.444600000000001</v>
      </c>
      <c r="I992" s="1">
        <v>23.4221</v>
      </c>
      <c r="J992" s="1">
        <f t="shared" si="108"/>
        <v>21.265748200000001</v>
      </c>
      <c r="K992" s="1">
        <v>5.0290700000000186</v>
      </c>
      <c r="L992" s="1">
        <f t="shared" si="109"/>
        <v>44.799050449438198</v>
      </c>
      <c r="M992" s="1">
        <v>-202.43154000000001</v>
      </c>
      <c r="N992" s="1">
        <v>-26.55884</v>
      </c>
    </row>
    <row r="993" spans="1:14" x14ac:dyDescent="0.4">
      <c r="B993" s="1">
        <v>50.049999999999798</v>
      </c>
      <c r="C993" s="1" t="s">
        <v>1004</v>
      </c>
      <c r="D993" s="3">
        <f t="shared" si="111"/>
        <v>1925.5999833500002</v>
      </c>
      <c r="E993" s="1">
        <v>288.3646</v>
      </c>
      <c r="F993" s="1">
        <v>57.715200000000003</v>
      </c>
      <c r="G993" s="1">
        <v>17.242599999999999</v>
      </c>
      <c r="H993" s="1">
        <v>34.802199999999999</v>
      </c>
      <c r="I993" s="1">
        <v>75.302199999999999</v>
      </c>
      <c r="J993" s="1">
        <f t="shared" si="108"/>
        <v>64.344345199999992</v>
      </c>
      <c r="K993" s="1">
        <v>7.9662499999999996</v>
      </c>
      <c r="L993" s="1">
        <f t="shared" si="109"/>
        <v>252.21609146067416</v>
      </c>
      <c r="M993" s="1">
        <v>-202.82208</v>
      </c>
      <c r="N993" s="1">
        <v>-26.631319999999999</v>
      </c>
    </row>
    <row r="994" spans="1:14" x14ac:dyDescent="0.4">
      <c r="B994" s="1">
        <v>50.099999999999902</v>
      </c>
      <c r="C994" s="1" t="s">
        <v>1005</v>
      </c>
      <c r="D994" s="3">
        <f t="shared" si="111"/>
        <v>1925.5333167000001</v>
      </c>
      <c r="E994" s="1">
        <v>140.78559999999999</v>
      </c>
      <c r="F994" s="1">
        <v>17.4788</v>
      </c>
      <c r="G994" s="1">
        <v>5.9074999999999998</v>
      </c>
      <c r="H994" s="1">
        <v>15.4343</v>
      </c>
      <c r="I994" s="1">
        <v>39.929499999999997</v>
      </c>
      <c r="J994" s="1">
        <f t="shared" si="108"/>
        <v>34.579647199999997</v>
      </c>
      <c r="K994" s="1">
        <v>10.428719999999998</v>
      </c>
      <c r="L994" s="1">
        <f t="shared" si="109"/>
        <v>121.35883191011234</v>
      </c>
      <c r="M994" s="1">
        <v>-207.92465999999999</v>
      </c>
      <c r="N994" s="1">
        <v>-27.325009999999999</v>
      </c>
    </row>
    <row r="995" spans="1:14" x14ac:dyDescent="0.4">
      <c r="B995" s="1">
        <v>50.149999999999899</v>
      </c>
      <c r="C995" s="1" t="s">
        <v>1006</v>
      </c>
      <c r="D995" s="3">
        <f t="shared" si="111"/>
        <v>1925.4666500500002</v>
      </c>
      <c r="E995" s="1">
        <v>76.575999999999993</v>
      </c>
      <c r="F995" s="1">
        <v>6.9484000000000004</v>
      </c>
      <c r="G995" s="1">
        <v>9.8713999999999995</v>
      </c>
      <c r="H995" s="1">
        <v>18.7136</v>
      </c>
      <c r="I995" s="1">
        <v>71.797700000000006</v>
      </c>
      <c r="J995" s="1">
        <f t="shared" si="108"/>
        <v>68.887812000000011</v>
      </c>
      <c r="K995" s="1">
        <v>10.039179999999988</v>
      </c>
      <c r="L995" s="1">
        <f t="shared" si="109"/>
        <v>37.874982022471897</v>
      </c>
      <c r="M995" s="1">
        <v>-213.81896</v>
      </c>
      <c r="N995" s="1">
        <v>-27.884049999999998</v>
      </c>
    </row>
    <row r="996" spans="1:14" x14ac:dyDescent="0.4">
      <c r="B996" s="1">
        <v>50.199999999999903</v>
      </c>
      <c r="C996" s="1" t="s">
        <v>1007</v>
      </c>
      <c r="D996" s="3">
        <f t="shared" si="111"/>
        <v>1925.3999834000001</v>
      </c>
      <c r="E996" s="1">
        <v>126.2706</v>
      </c>
      <c r="F996" s="1">
        <v>19.868099999999998</v>
      </c>
      <c r="G996" s="1">
        <v>6.3110999999999997</v>
      </c>
      <c r="H996" s="1">
        <v>12.513500000000001</v>
      </c>
      <c r="I996" s="1">
        <v>27.7776</v>
      </c>
      <c r="J996" s="1">
        <f t="shared" si="108"/>
        <v>22.979317200000001</v>
      </c>
      <c r="K996" s="1">
        <v>10.22847999999999</v>
      </c>
      <c r="L996" s="1">
        <f t="shared" si="109"/>
        <v>113.36087123595506</v>
      </c>
      <c r="M996" s="1">
        <v>-227.07543000000001</v>
      </c>
      <c r="N996" s="1">
        <v>-29.422350000000002</v>
      </c>
    </row>
    <row r="997" spans="1:14" x14ac:dyDescent="0.4">
      <c r="B997" s="1">
        <v>50.249999999999901</v>
      </c>
      <c r="C997" s="1" t="s">
        <v>1008</v>
      </c>
      <c r="D997" s="3">
        <f t="shared" si="111"/>
        <v>1925.3333167500002</v>
      </c>
      <c r="E997" s="1">
        <v>90.514399999999995</v>
      </c>
      <c r="F997" s="1">
        <v>34.040399999999998</v>
      </c>
      <c r="G997" s="1">
        <v>10.5799</v>
      </c>
      <c r="H997" s="1">
        <v>18.8111</v>
      </c>
      <c r="I997" s="1">
        <v>94.797399999999996</v>
      </c>
      <c r="J997" s="1">
        <f t="shared" si="108"/>
        <v>91.357852799999989</v>
      </c>
      <c r="K997" s="1">
        <v>10.675420000000003</v>
      </c>
      <c r="L997" s="1">
        <f t="shared" si="109"/>
        <v>39.189763595505617</v>
      </c>
      <c r="M997" s="1">
        <v>-233.27594999999999</v>
      </c>
      <c r="N997" s="1">
        <v>-30.305219999999998</v>
      </c>
    </row>
    <row r="998" spans="1:14" x14ac:dyDescent="0.4">
      <c r="B998" s="1">
        <v>50.299999999999898</v>
      </c>
      <c r="C998" s="1" t="s">
        <v>1009</v>
      </c>
      <c r="D998" s="3">
        <f t="shared" si="111"/>
        <v>1925.2666501000001</v>
      </c>
      <c r="E998" s="1">
        <v>226.2176</v>
      </c>
      <c r="F998" s="1">
        <v>25.183299999999999</v>
      </c>
      <c r="G998" s="1">
        <v>11.633900000000001</v>
      </c>
      <c r="H998" s="1">
        <v>13.1043</v>
      </c>
      <c r="I998" s="1">
        <v>23.9224</v>
      </c>
      <c r="J998" s="1">
        <f t="shared" si="108"/>
        <v>15.326131199999999</v>
      </c>
      <c r="K998" s="1">
        <v>9.2534399999999835</v>
      </c>
      <c r="L998" s="1">
        <f t="shared" si="109"/>
        <v>217.60741393258428</v>
      </c>
      <c r="M998" s="1">
        <v>-241.35973000000001</v>
      </c>
      <c r="N998" s="1">
        <v>-31.135760000000001</v>
      </c>
    </row>
    <row r="999" spans="1:14" x14ac:dyDescent="0.4">
      <c r="B999" s="1">
        <v>50.349999999999902</v>
      </c>
      <c r="C999" s="1" t="s">
        <v>1010</v>
      </c>
      <c r="D999" s="3">
        <f t="shared" si="111"/>
        <v>1925.1999834500002</v>
      </c>
      <c r="E999" s="1">
        <v>92.61</v>
      </c>
      <c r="F999" s="1">
        <v>37.7455</v>
      </c>
      <c r="G999" s="1">
        <v>4.2748999999999997</v>
      </c>
      <c r="H999" s="1">
        <v>17.1206</v>
      </c>
      <c r="I999" s="1">
        <v>65.873599999999996</v>
      </c>
      <c r="J999" s="1">
        <f t="shared" si="108"/>
        <v>62.354419999999998</v>
      </c>
      <c r="K999" s="1">
        <v>8.303370000000001</v>
      </c>
      <c r="L999" s="1">
        <f t="shared" si="109"/>
        <v>57.579426966292139</v>
      </c>
      <c r="M999" s="1">
        <v>-241.34666999999999</v>
      </c>
      <c r="N999" s="1">
        <v>-31.25976</v>
      </c>
    </row>
    <row r="1000" spans="1:14" x14ac:dyDescent="0.4">
      <c r="B1000" s="1">
        <v>50.399999999999899</v>
      </c>
      <c r="C1000" s="1" t="s">
        <v>1011</v>
      </c>
      <c r="D1000" s="3">
        <f t="shared" si="111"/>
        <v>1925.1333168000001</v>
      </c>
      <c r="E1000" s="1">
        <v>26.5307</v>
      </c>
      <c r="F1000" s="1">
        <v>4.7754000000000003</v>
      </c>
      <c r="G1000" s="1">
        <v>1.0797000000000001</v>
      </c>
      <c r="H1000" s="1">
        <v>3.3711000000000002</v>
      </c>
      <c r="I1000" s="1">
        <v>17.7241</v>
      </c>
      <c r="J1000" s="1">
        <f t="shared" si="108"/>
        <v>16.715933400000001</v>
      </c>
      <c r="K1000" s="1">
        <v>9.1658099999999934</v>
      </c>
      <c r="L1000" s="1">
        <f t="shared" si="109"/>
        <v>17.13972617977528</v>
      </c>
      <c r="M1000" s="1">
        <v>-240.1122</v>
      </c>
      <c r="N1000" s="1">
        <v>-31.233029999999999</v>
      </c>
    </row>
    <row r="1001" spans="1:14" x14ac:dyDescent="0.4">
      <c r="B1001" s="1">
        <v>50.449999999999903</v>
      </c>
      <c r="C1001" s="1" t="s">
        <v>1012</v>
      </c>
      <c r="D1001" s="3">
        <f t="shared" si="111"/>
        <v>1925.0666501500002</v>
      </c>
      <c r="E1001" s="1">
        <v>44.441200000000002</v>
      </c>
      <c r="F1001" s="1">
        <v>46.670299999999997</v>
      </c>
      <c r="G1001" s="1">
        <v>14.679</v>
      </c>
      <c r="H1001" s="1">
        <v>12.5296</v>
      </c>
      <c r="I1001" s="1">
        <v>56.069099999999999</v>
      </c>
      <c r="J1001" s="1">
        <f t="shared" si="108"/>
        <v>54.380334399999995</v>
      </c>
      <c r="K1001" s="1">
        <v>7.7263499999999965</v>
      </c>
      <c r="L1001" s="1">
        <f t="shared" si="109"/>
        <v>13.890450337078658</v>
      </c>
      <c r="M1001" s="1">
        <v>-237.90890999999999</v>
      </c>
      <c r="N1001" s="1">
        <v>-30.716159999999999</v>
      </c>
    </row>
    <row r="1002" spans="1:14" x14ac:dyDescent="0.4">
      <c r="A1002" s="1">
        <v>1925</v>
      </c>
      <c r="B1002" s="1">
        <v>50.499999999999901</v>
      </c>
      <c r="C1002" s="1" t="s">
        <v>1013</v>
      </c>
      <c r="D1002" s="3">
        <f>-0.909091*B1002+1970.909091</f>
        <v>1924.9999955000001</v>
      </c>
      <c r="E1002" s="1">
        <v>36.735900000000001</v>
      </c>
      <c r="F1002" s="1">
        <v>12.9503</v>
      </c>
      <c r="G1002" s="1">
        <v>3.4533999999999998</v>
      </c>
      <c r="H1002" s="1">
        <v>1.9834000000000001</v>
      </c>
      <c r="I1002" s="1">
        <v>7.0686999999999998</v>
      </c>
      <c r="J1002" s="1">
        <f t="shared" si="108"/>
        <v>5.6727357999999999</v>
      </c>
      <c r="K1002" s="1">
        <v>8.731410000000011</v>
      </c>
      <c r="L1002" s="1">
        <f t="shared" si="109"/>
        <v>33.548969775280902</v>
      </c>
      <c r="M1002" s="1">
        <v>-239.16288</v>
      </c>
      <c r="N1002" s="1">
        <v>-31.122150000000001</v>
      </c>
    </row>
    <row r="1003" spans="1:14" x14ac:dyDescent="0.4">
      <c r="B1003" s="1">
        <v>50.599999999999902</v>
      </c>
      <c r="C1003" s="1" t="s">
        <v>1014</v>
      </c>
      <c r="D1003" s="3">
        <f t="shared" ref="D1003:D1020" si="112">-0.909091*B1003+1970.909091</f>
        <v>1924.9090864</v>
      </c>
      <c r="E1003" s="1">
        <v>133.3794</v>
      </c>
      <c r="F1003" s="1">
        <v>10.9338</v>
      </c>
      <c r="G1003" s="1">
        <v>3.5577000000000001</v>
      </c>
      <c r="H1003" s="1">
        <v>6.4226999999999999</v>
      </c>
      <c r="I1003" s="1">
        <v>12.2303</v>
      </c>
      <c r="J1003" s="1">
        <f t="shared" si="108"/>
        <v>7.1618827999999999</v>
      </c>
      <c r="K1003" s="1">
        <v>9.7520399999999938</v>
      </c>
      <c r="L1003" s="1">
        <f t="shared" si="109"/>
        <v>129.35587033707867</v>
      </c>
      <c r="M1003" s="1">
        <v>-238.75371999999999</v>
      </c>
      <c r="N1003" s="1">
        <v>-31.015329999999999</v>
      </c>
    </row>
    <row r="1004" spans="1:14" x14ac:dyDescent="0.4">
      <c r="B1004" s="1">
        <v>50.699999999999903</v>
      </c>
      <c r="C1004" s="1" t="s">
        <v>1015</v>
      </c>
      <c r="D1004" s="3">
        <f t="shared" si="112"/>
        <v>1924.8181773000001</v>
      </c>
      <c r="E1004" s="1">
        <v>129.86490000000001</v>
      </c>
      <c r="F1004" s="1">
        <v>16.772200000000002</v>
      </c>
      <c r="G1004" s="1">
        <v>8.7941000000000003</v>
      </c>
      <c r="H1004" s="1">
        <v>13.048500000000001</v>
      </c>
      <c r="I1004" s="1">
        <v>28.586200000000002</v>
      </c>
      <c r="J1004" s="1">
        <f t="shared" si="108"/>
        <v>23.651333800000003</v>
      </c>
      <c r="K1004" s="1">
        <v>7.8203699999999969</v>
      </c>
      <c r="L1004" s="1">
        <f t="shared" si="109"/>
        <v>116.57763382022472</v>
      </c>
      <c r="M1004" s="1">
        <v>-243.16415000000001</v>
      </c>
      <c r="N1004" s="1">
        <v>-31.320430000000002</v>
      </c>
    </row>
    <row r="1005" spans="1:14" x14ac:dyDescent="0.4">
      <c r="B1005" s="1">
        <v>50.799999999999898</v>
      </c>
      <c r="C1005" s="1" t="s">
        <v>1016</v>
      </c>
      <c r="D1005" s="3">
        <f t="shared" si="112"/>
        <v>1924.7272682</v>
      </c>
      <c r="E1005" s="1">
        <v>53.412199999999999</v>
      </c>
      <c r="F1005" s="1">
        <v>10.8057</v>
      </c>
      <c r="G1005" s="1">
        <v>3.9653</v>
      </c>
      <c r="H1005" s="1">
        <v>13.271100000000001</v>
      </c>
      <c r="I1005" s="1">
        <v>11.4961</v>
      </c>
      <c r="J1005" s="1">
        <f t="shared" si="108"/>
        <v>9.466436400000001</v>
      </c>
      <c r="K1005" s="1">
        <v>9.8143200000000093</v>
      </c>
      <c r="L1005" s="1">
        <f t="shared" si="109"/>
        <v>48.093977303370785</v>
      </c>
      <c r="M1005" s="1">
        <v>-242.72927999999999</v>
      </c>
      <c r="N1005" s="1">
        <v>-31.476890000000001</v>
      </c>
    </row>
    <row r="1006" spans="1:14" x14ac:dyDescent="0.4">
      <c r="B1006" s="1">
        <v>50.849999999999902</v>
      </c>
      <c r="C1006" s="1" t="s">
        <v>1017</v>
      </c>
      <c r="D1006" s="3">
        <f t="shared" si="112"/>
        <v>1924.6818136500001</v>
      </c>
      <c r="E1006" s="1">
        <v>123.24160000000001</v>
      </c>
      <c r="F1006" s="1">
        <v>21.245899999999999</v>
      </c>
      <c r="G1006" s="1">
        <v>48.8033</v>
      </c>
      <c r="H1006" s="1">
        <v>29.564399999999999</v>
      </c>
      <c r="I1006" s="1">
        <v>127.9158</v>
      </c>
      <c r="J1006" s="1">
        <f t="shared" si="108"/>
        <v>123.2326192</v>
      </c>
      <c r="K1006" s="1">
        <v>9.3689200000000028</v>
      </c>
      <c r="L1006" s="1">
        <f t="shared" si="109"/>
        <v>54.009791460674165</v>
      </c>
      <c r="M1006" s="1">
        <v>-234.39922999999999</v>
      </c>
      <c r="N1006" s="1">
        <v>-30.723379999999999</v>
      </c>
    </row>
    <row r="1007" spans="1:14" x14ac:dyDescent="0.4">
      <c r="B1007" s="1">
        <v>50.899999999999899</v>
      </c>
      <c r="C1007" s="1" t="s">
        <v>1018</v>
      </c>
      <c r="D1007" s="3">
        <f t="shared" si="112"/>
        <v>1924.6363591000002</v>
      </c>
      <c r="E1007" s="1">
        <v>76.251599999999996</v>
      </c>
      <c r="F1007" s="1">
        <v>10.7263</v>
      </c>
      <c r="G1007" s="1">
        <v>3.7223000000000002</v>
      </c>
      <c r="H1007" s="1">
        <v>9.5790000000000006</v>
      </c>
      <c r="I1007" s="1">
        <v>25.4604</v>
      </c>
      <c r="J1007" s="1">
        <f t="shared" si="108"/>
        <v>22.562839199999999</v>
      </c>
      <c r="K1007" s="1">
        <v>7.3992900000000077</v>
      </c>
      <c r="L1007" s="1">
        <f t="shared" si="109"/>
        <v>63.575847640449439</v>
      </c>
      <c r="M1007" s="1">
        <v>-232.53372999999999</v>
      </c>
      <c r="N1007" s="1">
        <v>-30.543690000000002</v>
      </c>
    </row>
    <row r="1008" spans="1:14" x14ac:dyDescent="0.4">
      <c r="B1008" s="1">
        <v>50.949999999999903</v>
      </c>
      <c r="C1008" s="1" t="s">
        <v>1019</v>
      </c>
      <c r="D1008" s="3">
        <f t="shared" si="112"/>
        <v>1924.59090455</v>
      </c>
      <c r="E1008" s="1">
        <v>68.429299999999998</v>
      </c>
      <c r="F1008" s="1">
        <v>29.513500000000001</v>
      </c>
      <c r="G1008" s="1">
        <v>5.5553999999999997</v>
      </c>
      <c r="H1008" s="1">
        <v>11.3162</v>
      </c>
      <c r="I1008" s="1">
        <v>44.639000000000003</v>
      </c>
      <c r="J1008" s="1">
        <f t="shared" si="108"/>
        <v>42.038686600000005</v>
      </c>
      <c r="K1008" s="1">
        <v>9.0858400000000188</v>
      </c>
      <c r="L1008" s="1">
        <f t="shared" si="109"/>
        <v>44.812060337078648</v>
      </c>
      <c r="M1008" s="1">
        <v>-230.82323</v>
      </c>
      <c r="N1008" s="1">
        <v>-30.246939999999999</v>
      </c>
    </row>
    <row r="1009" spans="1:14" x14ac:dyDescent="0.4">
      <c r="B1009" s="1">
        <v>50.999999999999901</v>
      </c>
      <c r="C1009" s="1" t="s">
        <v>1020</v>
      </c>
      <c r="D1009" s="3">
        <f t="shared" si="112"/>
        <v>1924.5454500000001</v>
      </c>
      <c r="E1009" s="1">
        <v>85.04</v>
      </c>
      <c r="F1009" s="1">
        <v>10.885199999999999</v>
      </c>
      <c r="G1009" s="1">
        <v>2.4051</v>
      </c>
      <c r="H1009" s="1">
        <v>9.2346000000000004</v>
      </c>
      <c r="I1009" s="1">
        <v>47.853900000000003</v>
      </c>
      <c r="J1009" s="1">
        <f t="shared" si="108"/>
        <v>44.62238</v>
      </c>
      <c r="K1009" s="1">
        <v>11.387810000000002</v>
      </c>
      <c r="L1009" s="1">
        <f t="shared" si="109"/>
        <v>59.971247191011244</v>
      </c>
      <c r="M1009" s="1">
        <v>-243.12752</v>
      </c>
      <c r="N1009" s="1">
        <v>-31.380980000000001</v>
      </c>
    </row>
    <row r="1010" spans="1:14" x14ac:dyDescent="0.4">
      <c r="B1010" s="1">
        <v>51.049999999999898</v>
      </c>
      <c r="C1010" s="1" t="s">
        <v>1021</v>
      </c>
      <c r="D1010" s="3">
        <f t="shared" si="112"/>
        <v>1924.4999954500001</v>
      </c>
      <c r="E1010" s="1">
        <v>31.5549</v>
      </c>
      <c r="F1010" s="1">
        <v>12.586399999999999</v>
      </c>
      <c r="G1010" s="1">
        <v>3.9782000000000002</v>
      </c>
      <c r="H1010" s="1">
        <v>7.3074000000000003</v>
      </c>
      <c r="I1010" s="1">
        <v>37.356499999999997</v>
      </c>
      <c r="J1010" s="1">
        <f t="shared" si="108"/>
        <v>36.1574138</v>
      </c>
      <c r="K1010" s="1">
        <v>11.815790000000021</v>
      </c>
      <c r="L1010" s="1">
        <f t="shared" si="109"/>
        <v>11.24174617977528</v>
      </c>
      <c r="M1010" s="1">
        <v>-249.04111</v>
      </c>
      <c r="N1010" s="1">
        <v>-32.219769999999997</v>
      </c>
    </row>
    <row r="1011" spans="1:14" x14ac:dyDescent="0.4">
      <c r="B1011" s="1">
        <v>51.099999999999902</v>
      </c>
      <c r="C1011" s="1" t="s">
        <v>1022</v>
      </c>
      <c r="D1011" s="3">
        <f t="shared" si="112"/>
        <v>1924.4545409</v>
      </c>
      <c r="E1011" s="1">
        <v>42.44</v>
      </c>
      <c r="F1011" s="1">
        <v>8.4610000000000003</v>
      </c>
      <c r="G1011" s="1">
        <v>3.2121</v>
      </c>
      <c r="H1011" s="1">
        <v>6.4870000000000001</v>
      </c>
      <c r="I1011" s="1">
        <v>42.754300000000001</v>
      </c>
      <c r="J1011" s="1">
        <f t="shared" si="108"/>
        <v>41.141579999999998</v>
      </c>
      <c r="K1011" s="1">
        <v>11.152289999999994</v>
      </c>
      <c r="L1011" s="1">
        <f t="shared" si="109"/>
        <v>19.326752808988765</v>
      </c>
      <c r="M1011" s="1">
        <v>-253.49295000000001</v>
      </c>
      <c r="N1011" s="1">
        <v>-32.626829999999998</v>
      </c>
    </row>
    <row r="1012" spans="1:14" x14ac:dyDescent="0.4">
      <c r="B1012" s="1">
        <v>51.149999999999899</v>
      </c>
      <c r="C1012" s="1" t="s">
        <v>1023</v>
      </c>
      <c r="D1012" s="3">
        <f t="shared" si="112"/>
        <v>1924.4090863500001</v>
      </c>
      <c r="E1012" s="1">
        <v>19.63</v>
      </c>
      <c r="F1012" s="1">
        <v>10.1548</v>
      </c>
      <c r="G1012" s="1">
        <v>4.0481999999999996</v>
      </c>
      <c r="H1012" s="1">
        <v>4.8253000000000004</v>
      </c>
      <c r="I1012" s="1">
        <v>31.952400000000001</v>
      </c>
      <c r="J1012" s="1">
        <f t="shared" si="108"/>
        <v>31.20646</v>
      </c>
      <c r="K1012" s="1">
        <v>7.9203200000000038</v>
      </c>
      <c r="L1012" s="1">
        <f t="shared" si="109"/>
        <v>2.0982808988764035</v>
      </c>
      <c r="M1012" s="1">
        <v>-253.2987</v>
      </c>
      <c r="N1012" s="1">
        <v>-32.870249999999999</v>
      </c>
    </row>
    <row r="1013" spans="1:14" x14ac:dyDescent="0.4">
      <c r="B1013" s="1">
        <v>51.199999999999903</v>
      </c>
      <c r="C1013" s="1" t="s">
        <v>1024</v>
      </c>
      <c r="D1013" s="3">
        <f t="shared" si="112"/>
        <v>1924.3636318000001</v>
      </c>
      <c r="E1013" s="1">
        <v>27.204000000000001</v>
      </c>
      <c r="F1013" s="1">
        <v>29.8443</v>
      </c>
      <c r="G1013" s="1">
        <v>6.5049000000000001</v>
      </c>
      <c r="H1013" s="1">
        <v>19.4223</v>
      </c>
      <c r="I1013" s="1">
        <v>12.8605</v>
      </c>
      <c r="J1013" s="1">
        <f t="shared" si="108"/>
        <v>11.826748</v>
      </c>
      <c r="K1013" s="1">
        <v>8.717049999999972</v>
      </c>
      <c r="L1013" s="1">
        <f t="shared" si="109"/>
        <v>20.5597595505618</v>
      </c>
      <c r="M1013" s="1">
        <v>-260.50832000000003</v>
      </c>
      <c r="N1013" s="1">
        <v>-33.679250000000003</v>
      </c>
    </row>
    <row r="1014" spans="1:14" x14ac:dyDescent="0.4">
      <c r="B1014" s="1">
        <v>51.249999999999901</v>
      </c>
      <c r="C1014" s="1" t="s">
        <v>1025</v>
      </c>
      <c r="D1014" s="3">
        <f t="shared" si="112"/>
        <v>1924.3181772500002</v>
      </c>
      <c r="E1014" s="1">
        <v>120.12739999999999</v>
      </c>
      <c r="F1014" s="1">
        <v>50.927</v>
      </c>
      <c r="G1014" s="1">
        <v>21.823799999999999</v>
      </c>
      <c r="H1014" s="1">
        <v>24.5486</v>
      </c>
      <c r="I1014" s="1">
        <v>64.683499999999995</v>
      </c>
      <c r="J1014" s="1">
        <f t="shared" si="108"/>
        <v>60.118658799999992</v>
      </c>
      <c r="K1014" s="1">
        <v>7.5216899999999782</v>
      </c>
      <c r="L1014" s="1">
        <f t="shared" si="109"/>
        <v>86.352872584269662</v>
      </c>
      <c r="M1014" s="1">
        <v>-266.93544000000003</v>
      </c>
      <c r="N1014" s="1">
        <v>-34.302790000000002</v>
      </c>
    </row>
    <row r="1015" spans="1:14" x14ac:dyDescent="0.4">
      <c r="B1015" s="1">
        <v>51.299999999999898</v>
      </c>
      <c r="C1015" s="1" t="s">
        <v>1026</v>
      </c>
      <c r="D1015" s="3">
        <f t="shared" si="112"/>
        <v>1924.2727227</v>
      </c>
      <c r="E1015" s="1">
        <v>325.10759999999999</v>
      </c>
      <c r="F1015" s="1">
        <v>16.714500000000001</v>
      </c>
      <c r="G1015" s="1">
        <v>14.391299999999999</v>
      </c>
      <c r="H1015" s="1">
        <v>20.29</v>
      </c>
      <c r="I1015" s="1">
        <v>90.135800000000003</v>
      </c>
      <c r="J1015" s="1">
        <f t="shared" si="108"/>
        <v>77.781711200000004</v>
      </c>
      <c r="K1015" s="1">
        <v>9.6632999999999925</v>
      </c>
      <c r="L1015" s="1">
        <f t="shared" si="109"/>
        <v>281.41000943820222</v>
      </c>
      <c r="M1015" s="1">
        <v>-268.85363000000001</v>
      </c>
      <c r="N1015" s="1">
        <v>-34.744680000000002</v>
      </c>
    </row>
    <row r="1016" spans="1:14" x14ac:dyDescent="0.4">
      <c r="B1016" s="1">
        <v>51.349999999999902</v>
      </c>
      <c r="C1016" s="1" t="s">
        <v>1027</v>
      </c>
      <c r="D1016" s="3">
        <f t="shared" si="112"/>
        <v>1924.2272681500001</v>
      </c>
      <c r="E1016" s="1">
        <v>21.9011</v>
      </c>
      <c r="F1016" s="1">
        <v>15.0984</v>
      </c>
      <c r="G1016" s="1">
        <v>5.0114000000000001</v>
      </c>
      <c r="H1016" s="1">
        <v>10.5731</v>
      </c>
      <c r="I1016" s="1">
        <v>78.835800000000006</v>
      </c>
      <c r="J1016" s="1">
        <f t="shared" si="108"/>
        <v>78.003558200000001</v>
      </c>
      <c r="K1016" s="1">
        <v>8.9256799999999998</v>
      </c>
      <c r="L1016" s="1">
        <f t="shared" si="109"/>
        <v>-21.921123707865171</v>
      </c>
      <c r="M1016" s="1">
        <v>-264.50303000000002</v>
      </c>
      <c r="N1016" s="1">
        <v>-34.277349999999998</v>
      </c>
    </row>
    <row r="1017" spans="1:14" x14ac:dyDescent="0.4">
      <c r="B1017" s="1">
        <v>51.399999999999899</v>
      </c>
      <c r="C1017" s="1" t="s">
        <v>1028</v>
      </c>
      <c r="D1017" s="3">
        <f t="shared" si="112"/>
        <v>1924.1818136000002</v>
      </c>
      <c r="E1017" s="1">
        <v>27.988199999999999</v>
      </c>
      <c r="F1017" s="1">
        <v>40.403100000000002</v>
      </c>
      <c r="G1017" s="1">
        <v>4.1002000000000001</v>
      </c>
      <c r="H1017" s="1">
        <v>4.7131999999999996</v>
      </c>
      <c r="I1017" s="1">
        <v>74.509</v>
      </c>
      <c r="J1017" s="1">
        <f t="shared" si="108"/>
        <v>73.445448400000004</v>
      </c>
      <c r="K1017" s="1">
        <v>7.4868799999999851</v>
      </c>
      <c r="L1017" s="1">
        <f t="shared" si="109"/>
        <v>-13.273287865168541</v>
      </c>
      <c r="M1017" s="1">
        <v>-252.72512</v>
      </c>
      <c r="N1017" s="1">
        <v>-32.919420000000002</v>
      </c>
    </row>
    <row r="1018" spans="1:14" x14ac:dyDescent="0.4">
      <c r="B1018" s="1">
        <v>51.449999999999903</v>
      </c>
      <c r="C1018" s="1" t="s">
        <v>1029</v>
      </c>
      <c r="D1018" s="3">
        <f t="shared" si="112"/>
        <v>1924.13635905</v>
      </c>
      <c r="E1018" s="1">
        <v>62.456899999999997</v>
      </c>
      <c r="F1018" s="1">
        <v>32.0946</v>
      </c>
      <c r="G1018" s="1">
        <v>5.4039000000000001</v>
      </c>
      <c r="H1018" s="1">
        <v>16.0976</v>
      </c>
      <c r="I1018" s="1">
        <v>89.084900000000005</v>
      </c>
      <c r="J1018" s="1">
        <f t="shared" si="108"/>
        <v>86.711537800000002</v>
      </c>
      <c r="K1018" s="1">
        <v>9.1038100000000099</v>
      </c>
      <c r="L1018" s="1">
        <f t="shared" si="109"/>
        <v>13.742552921348313</v>
      </c>
      <c r="M1018" s="1">
        <v>-245.07241999999999</v>
      </c>
      <c r="N1018" s="1">
        <v>-31.814810000000001</v>
      </c>
    </row>
    <row r="1019" spans="1:14" x14ac:dyDescent="0.4">
      <c r="B1019" s="1">
        <v>51.499999999999901</v>
      </c>
      <c r="C1019" s="1" t="s">
        <v>1030</v>
      </c>
      <c r="D1019" s="3">
        <f t="shared" si="112"/>
        <v>1924.0909045000001</v>
      </c>
      <c r="E1019" s="1">
        <v>135.6756</v>
      </c>
      <c r="F1019" s="1">
        <v>19.278300000000002</v>
      </c>
      <c r="G1019" s="1">
        <v>10.071400000000001</v>
      </c>
      <c r="H1019" s="1">
        <v>18.9236</v>
      </c>
      <c r="I1019" s="1">
        <v>59.074100000000001</v>
      </c>
      <c r="J1019" s="1">
        <f t="shared" si="108"/>
        <v>53.918427200000004</v>
      </c>
      <c r="K1019" s="1">
        <v>9.7157699999999636</v>
      </c>
      <c r="L1019" s="1">
        <f t="shared" si="109"/>
        <v>105.38434876404494</v>
      </c>
      <c r="M1019" s="1">
        <v>-240.52789000000001</v>
      </c>
      <c r="N1019" s="1">
        <v>-31.15466</v>
      </c>
    </row>
    <row r="1020" spans="1:14" x14ac:dyDescent="0.4">
      <c r="B1020" s="1">
        <v>51.549999999999898</v>
      </c>
      <c r="C1020" s="1" t="s">
        <v>1031</v>
      </c>
      <c r="D1020" s="3">
        <f t="shared" si="112"/>
        <v>1924.0454499500001</v>
      </c>
      <c r="E1020" s="1">
        <v>33.855800000000002</v>
      </c>
      <c r="F1020" s="1">
        <v>34.598399999999998</v>
      </c>
      <c r="G1020" s="1">
        <v>7.0038999999999998</v>
      </c>
      <c r="H1020" s="1">
        <v>5.4977999999999998</v>
      </c>
      <c r="I1020" s="1">
        <v>30.809000000000001</v>
      </c>
      <c r="J1020" s="1">
        <f t="shared" si="108"/>
        <v>29.5224796</v>
      </c>
      <c r="K1020" s="1">
        <v>10.630240000000015</v>
      </c>
      <c r="L1020" s="1">
        <f t="shared" si="109"/>
        <v>17.270137303370788</v>
      </c>
      <c r="M1020" s="1">
        <v>-240.29277999999999</v>
      </c>
      <c r="N1020" s="1">
        <v>-31.06512</v>
      </c>
    </row>
    <row r="1021" spans="1:14" x14ac:dyDescent="0.4">
      <c r="A1021" s="1">
        <v>1924</v>
      </c>
      <c r="B1021" s="1">
        <v>51.599999999999902</v>
      </c>
      <c r="C1021" s="1" t="s">
        <v>1032</v>
      </c>
      <c r="D1021" s="3">
        <f>-2.5*B1021+2053</f>
        <v>1924.0000000000002</v>
      </c>
      <c r="E1021" s="1">
        <v>95.786000000000001</v>
      </c>
      <c r="F1021" s="1">
        <v>13.547599999999999</v>
      </c>
      <c r="G1021" s="1">
        <v>7.8205999999999998</v>
      </c>
      <c r="H1021" s="1">
        <v>12.441800000000001</v>
      </c>
      <c r="I1021" s="1">
        <v>55.448900000000002</v>
      </c>
      <c r="J1021" s="1">
        <f t="shared" si="108"/>
        <v>51.809032000000002</v>
      </c>
      <c r="K1021" s="1">
        <v>9.446060000000017</v>
      </c>
      <c r="L1021" s="1">
        <f t="shared" si="109"/>
        <v>66.67980224719102</v>
      </c>
      <c r="M1021" s="1">
        <v>-245.57087999999999</v>
      </c>
      <c r="N1021" s="1">
        <v>-31.649190000000001</v>
      </c>
    </row>
    <row r="1022" spans="1:14" x14ac:dyDescent="0.4">
      <c r="B1022" s="1">
        <v>51.649999999999899</v>
      </c>
      <c r="C1022" s="1" t="s">
        <v>1033</v>
      </c>
      <c r="D1022" s="3">
        <f t="shared" ref="D1022:D1028" si="113">-2.5*B1022+2053</f>
        <v>1923.8750000000002</v>
      </c>
      <c r="E1022" s="1">
        <v>59.333500000000001</v>
      </c>
      <c r="F1022" s="1">
        <v>37.209600000000002</v>
      </c>
      <c r="G1022" s="1">
        <v>6.0042</v>
      </c>
      <c r="H1022" s="1">
        <v>11.567399999999999</v>
      </c>
      <c r="I1022" s="1">
        <v>55.115900000000003</v>
      </c>
      <c r="J1022" s="1">
        <f t="shared" si="108"/>
        <v>52.861227000000007</v>
      </c>
      <c r="K1022" s="1">
        <v>8.7093899999999849</v>
      </c>
      <c r="L1022" s="1">
        <f t="shared" si="109"/>
        <v>29.636181460674155</v>
      </c>
      <c r="M1022" s="1">
        <v>-245.25998000000001</v>
      </c>
      <c r="N1022" s="1">
        <v>-31.503599999999999</v>
      </c>
    </row>
    <row r="1023" spans="1:14" x14ac:dyDescent="0.4">
      <c r="B1023" s="1">
        <v>51.699999999999903</v>
      </c>
      <c r="C1023" s="1" t="s">
        <v>1034</v>
      </c>
      <c r="D1023" s="3">
        <f t="shared" si="113"/>
        <v>1923.7500000000002</v>
      </c>
      <c r="E1023" s="1">
        <v>29.194700000000001</v>
      </c>
      <c r="F1023" s="1">
        <v>19.015699999999999</v>
      </c>
      <c r="G1023" s="1">
        <v>3.5350000000000001</v>
      </c>
      <c r="H1023" s="1">
        <v>4.8688000000000002</v>
      </c>
      <c r="I1023" s="1">
        <v>45.149900000000002</v>
      </c>
      <c r="J1023" s="1">
        <f t="shared" si="108"/>
        <v>44.040501400000004</v>
      </c>
      <c r="K1023" s="1">
        <v>8.2281800000000089</v>
      </c>
      <c r="L1023" s="1">
        <f t="shared" si="109"/>
        <v>4.4528452808988774</v>
      </c>
      <c r="M1023" s="1">
        <v>-240.26125999999999</v>
      </c>
      <c r="N1023" s="1">
        <v>-30.95834</v>
      </c>
    </row>
    <row r="1024" spans="1:14" x14ac:dyDescent="0.4">
      <c r="B1024" s="1">
        <v>51.749999999999901</v>
      </c>
      <c r="C1024" s="1" t="s">
        <v>1035</v>
      </c>
      <c r="D1024" s="3">
        <f t="shared" si="113"/>
        <v>1923.6250000000002</v>
      </c>
      <c r="E1024" s="1">
        <v>64.675600000000003</v>
      </c>
      <c r="F1024" s="1">
        <v>9.7150999999999996</v>
      </c>
      <c r="G1024" s="1">
        <v>4.9420999999999999</v>
      </c>
      <c r="H1024" s="1">
        <v>11.456200000000001</v>
      </c>
      <c r="I1024" s="1">
        <v>58.962200000000003</v>
      </c>
      <c r="J1024" s="1">
        <f t="shared" si="108"/>
        <v>56.504527200000005</v>
      </c>
      <c r="K1024" s="1">
        <v>7.6226400000000183</v>
      </c>
      <c r="L1024" s="1">
        <f t="shared" si="109"/>
        <v>32.931483595505618</v>
      </c>
      <c r="M1024" s="1">
        <v>-237.82357999999999</v>
      </c>
      <c r="N1024" s="1">
        <v>-30.772010000000002</v>
      </c>
    </row>
    <row r="1025" spans="1:14" x14ac:dyDescent="0.4">
      <c r="B1025" s="1">
        <v>51.799999999999898</v>
      </c>
      <c r="C1025" s="1" t="s">
        <v>1036</v>
      </c>
      <c r="D1025" s="3">
        <f t="shared" si="113"/>
        <v>1923.5000000000002</v>
      </c>
      <c r="E1025" s="1">
        <v>90.941900000000004</v>
      </c>
      <c r="F1025" s="1">
        <v>19.653199999999998</v>
      </c>
      <c r="G1025" s="1">
        <v>7.9195000000000002</v>
      </c>
      <c r="H1025" s="1">
        <v>15.5006</v>
      </c>
      <c r="I1025" s="1">
        <v>75.032899999999998</v>
      </c>
      <c r="J1025" s="1">
        <f t="shared" si="108"/>
        <v>71.577107799999993</v>
      </c>
      <c r="K1025" s="1">
        <v>6.7688199999999767</v>
      </c>
      <c r="L1025" s="1">
        <f t="shared" si="109"/>
        <v>50.730041685393267</v>
      </c>
      <c r="M1025" s="1">
        <v>-238.74745999999999</v>
      </c>
      <c r="N1025" s="1">
        <v>-30.774609999999999</v>
      </c>
    </row>
    <row r="1026" spans="1:14" x14ac:dyDescent="0.4">
      <c r="B1026" s="1">
        <v>51.849999999999902</v>
      </c>
      <c r="C1026" s="1" t="s">
        <v>1037</v>
      </c>
      <c r="D1026" s="3">
        <f t="shared" si="113"/>
        <v>1923.3750000000002</v>
      </c>
      <c r="E1026" s="1">
        <v>46.904699999999998</v>
      </c>
      <c r="F1026" s="1">
        <v>45.698900000000002</v>
      </c>
      <c r="G1026" s="1">
        <v>5.9486999999999997</v>
      </c>
      <c r="H1026" s="1">
        <v>7.3979999999999997</v>
      </c>
      <c r="I1026" s="1">
        <v>72.185100000000006</v>
      </c>
      <c r="J1026" s="1">
        <f t="shared" si="108"/>
        <v>70.402721400000004</v>
      </c>
      <c r="K1026" s="1">
        <v>7.405460000000005</v>
      </c>
      <c r="L1026" s="1">
        <f t="shared" si="109"/>
        <v>7.3526093258426926</v>
      </c>
      <c r="N1026" s="1">
        <v>-31.278960000000001</v>
      </c>
    </row>
    <row r="1027" spans="1:14" x14ac:dyDescent="0.4">
      <c r="B1027" s="1">
        <v>51.8999999999998</v>
      </c>
      <c r="C1027" s="1" t="s">
        <v>1038</v>
      </c>
      <c r="D1027" s="3">
        <f t="shared" si="113"/>
        <v>1923.2500000000005</v>
      </c>
      <c r="E1027" s="1">
        <v>38.943399999999997</v>
      </c>
      <c r="F1027" s="1">
        <v>8.2814999999999994</v>
      </c>
      <c r="G1027" s="1">
        <v>4.9856999999999996</v>
      </c>
      <c r="H1027" s="1">
        <v>6.0065999999999997</v>
      </c>
      <c r="I1027" s="1">
        <v>81.950199999999995</v>
      </c>
      <c r="J1027" s="1">
        <f t="shared" ref="J1027:J1090" si="114">I1027-0.038*E1027</f>
        <v>80.470350799999991</v>
      </c>
      <c r="K1027" s="1">
        <v>8.3525000000000205</v>
      </c>
      <c r="L1027" s="1">
        <f t="shared" ref="L1027:L1090" si="115">E1027-(J1027/1.78)</f>
        <v>-6.2646622471910121</v>
      </c>
      <c r="M1027" s="1">
        <v>-242.5514</v>
      </c>
      <c r="N1027" s="1">
        <v>-31.24766</v>
      </c>
    </row>
    <row r="1028" spans="1:14" x14ac:dyDescent="0.4">
      <c r="B1028" s="1">
        <v>51.949999999999797</v>
      </c>
      <c r="C1028" s="1" t="s">
        <v>1039</v>
      </c>
      <c r="D1028" s="3">
        <f t="shared" si="113"/>
        <v>1923.1250000000005</v>
      </c>
      <c r="E1028" s="1">
        <v>73.326300000000003</v>
      </c>
      <c r="F1028" s="1">
        <v>7.2927</v>
      </c>
      <c r="G1028" s="1">
        <v>5.4439000000000002</v>
      </c>
      <c r="H1028" s="1">
        <v>4.7675999999999998</v>
      </c>
      <c r="I1028" s="1">
        <v>40.611199999999997</v>
      </c>
      <c r="J1028" s="1">
        <f t="shared" si="114"/>
        <v>37.824800599999996</v>
      </c>
      <c r="K1028" s="1">
        <v>7.4494200000000035</v>
      </c>
      <c r="L1028" s="1">
        <f t="shared" si="115"/>
        <v>52.076412022471914</v>
      </c>
      <c r="M1028" s="1">
        <v>-239.80302</v>
      </c>
      <c r="N1028" s="1">
        <v>-31.15887</v>
      </c>
    </row>
    <row r="1029" spans="1:14" x14ac:dyDescent="0.4">
      <c r="A1029" s="1">
        <v>1923</v>
      </c>
      <c r="B1029" s="1">
        <v>51.999999999999801</v>
      </c>
      <c r="C1029" s="1" t="s">
        <v>1040</v>
      </c>
      <c r="D1029" s="3">
        <f>-1*B1029+1975</f>
        <v>1923.0000000000002</v>
      </c>
      <c r="E1029" s="1">
        <v>91.596199999999996</v>
      </c>
      <c r="F1029" s="1">
        <v>21.007000000000001</v>
      </c>
      <c r="G1029" s="1">
        <v>4.9608999999999996</v>
      </c>
      <c r="H1029" s="1">
        <v>15.8506</v>
      </c>
      <c r="I1029" s="1">
        <v>70.046800000000005</v>
      </c>
      <c r="J1029" s="1">
        <f t="shared" si="114"/>
        <v>66.566144399999999</v>
      </c>
      <c r="L1029" s="1">
        <f t="shared" si="115"/>
        <v>54.199489662921344</v>
      </c>
      <c r="M1029" s="1">
        <v>-230.56988000000001</v>
      </c>
      <c r="N1029" s="1">
        <v>-30.304790000000001</v>
      </c>
    </row>
    <row r="1030" spans="1:14" x14ac:dyDescent="0.4">
      <c r="B1030" s="1">
        <v>52.049999999999798</v>
      </c>
      <c r="C1030" s="1" t="s">
        <v>1041</v>
      </c>
      <c r="D1030" s="3">
        <f t="shared" ref="D1030:D1048" si="116">-1*B1030+1975</f>
        <v>1922.9500000000003</v>
      </c>
      <c r="E1030" s="1">
        <v>54.024700000000003</v>
      </c>
      <c r="F1030" s="1">
        <v>7.2046999999999999</v>
      </c>
      <c r="G1030" s="1">
        <v>5.9558</v>
      </c>
      <c r="H1030" s="1">
        <v>5.3959999999999999</v>
      </c>
      <c r="I1030" s="1">
        <v>63.536000000000001</v>
      </c>
      <c r="J1030" s="1">
        <f t="shared" si="114"/>
        <v>61.483061400000004</v>
      </c>
      <c r="K1030" s="1">
        <v>7.4298799999999972</v>
      </c>
      <c r="L1030" s="1">
        <f t="shared" si="115"/>
        <v>19.483654269662921</v>
      </c>
      <c r="M1030" s="1">
        <v>-233.87099000000001</v>
      </c>
      <c r="N1030" s="1">
        <v>-30.723739999999999</v>
      </c>
    </row>
    <row r="1031" spans="1:14" x14ac:dyDescent="0.4">
      <c r="B1031" s="1">
        <v>52.099999999999802</v>
      </c>
      <c r="C1031" s="1" t="s">
        <v>1042</v>
      </c>
      <c r="D1031" s="3">
        <f t="shared" si="116"/>
        <v>1922.9</v>
      </c>
      <c r="E1031" s="1">
        <v>86.9876</v>
      </c>
      <c r="F1031" s="1">
        <v>16.5425</v>
      </c>
      <c r="G1031" s="1">
        <v>6.1837999999999997</v>
      </c>
      <c r="H1031" s="1">
        <v>11.584099999999999</v>
      </c>
      <c r="I1031" s="1">
        <v>56.977200000000003</v>
      </c>
      <c r="J1031" s="1">
        <f t="shared" si="114"/>
        <v>53.671671200000006</v>
      </c>
      <c r="K1031" s="1">
        <v>9.4679399999999987</v>
      </c>
      <c r="L1031" s="1">
        <f t="shared" si="115"/>
        <v>56.834975730337078</v>
      </c>
      <c r="M1031" s="1">
        <v>-248.15504000000001</v>
      </c>
      <c r="N1031" s="1">
        <v>-32.171109999999999</v>
      </c>
    </row>
    <row r="1032" spans="1:14" x14ac:dyDescent="0.4">
      <c r="B1032" s="1">
        <v>52.1499999999998</v>
      </c>
      <c r="C1032" s="1" t="s">
        <v>1043</v>
      </c>
      <c r="D1032" s="3">
        <f t="shared" si="116"/>
        <v>1922.8500000000001</v>
      </c>
      <c r="E1032" s="1">
        <v>72.158199999999994</v>
      </c>
      <c r="F1032" s="1">
        <v>10.4742</v>
      </c>
      <c r="G1032" s="1">
        <v>5.0366999999999997</v>
      </c>
      <c r="H1032" s="1">
        <v>10.110799999999999</v>
      </c>
      <c r="I1032" s="1">
        <v>61.918500000000002</v>
      </c>
      <c r="J1032" s="1">
        <f t="shared" si="114"/>
        <v>59.176488400000004</v>
      </c>
      <c r="K1032" s="1">
        <v>11.868439999999993</v>
      </c>
      <c r="L1032" s="1">
        <f t="shared" si="115"/>
        <v>38.912981797752799</v>
      </c>
      <c r="M1032" s="1">
        <v>-254.25110000000001</v>
      </c>
      <c r="N1032" s="1">
        <v>-32.813659999999999</v>
      </c>
    </row>
    <row r="1033" spans="1:14" x14ac:dyDescent="0.4">
      <c r="B1033" s="1">
        <v>52.199999999999797</v>
      </c>
      <c r="C1033" s="1" t="s">
        <v>1044</v>
      </c>
      <c r="D1033" s="3">
        <f t="shared" si="116"/>
        <v>1922.8000000000002</v>
      </c>
      <c r="E1033" s="1">
        <v>79.343400000000003</v>
      </c>
      <c r="F1033" s="1">
        <v>19.169799999999999</v>
      </c>
      <c r="G1033" s="1">
        <v>3.1917</v>
      </c>
      <c r="H1033" s="1">
        <v>14.851100000000001</v>
      </c>
      <c r="I1033" s="1">
        <v>24.8566</v>
      </c>
      <c r="J1033" s="1">
        <f t="shared" si="114"/>
        <v>21.8415508</v>
      </c>
      <c r="K1033" s="1">
        <v>11.918929999999989</v>
      </c>
      <c r="L1033" s="1">
        <f t="shared" si="115"/>
        <v>67.072865842696629</v>
      </c>
      <c r="M1033" s="1">
        <v>-254.09271000000001</v>
      </c>
      <c r="N1033" s="1">
        <v>-32.715780000000002</v>
      </c>
    </row>
    <row r="1034" spans="1:14" x14ac:dyDescent="0.4">
      <c r="B1034" s="1">
        <v>52.249999999999801</v>
      </c>
      <c r="C1034" s="1" t="s">
        <v>1045</v>
      </c>
      <c r="D1034" s="3">
        <f t="shared" si="116"/>
        <v>1922.7500000000002</v>
      </c>
      <c r="E1034" s="1">
        <v>9.6807999999999996</v>
      </c>
      <c r="F1034" s="1">
        <v>6.3661000000000003</v>
      </c>
      <c r="G1034" s="1">
        <v>2.8544</v>
      </c>
      <c r="H1034" s="1">
        <v>2.3502999999999998</v>
      </c>
      <c r="I1034" s="1">
        <v>39.296199999999999</v>
      </c>
      <c r="J1034" s="1">
        <f t="shared" si="114"/>
        <v>38.928329599999998</v>
      </c>
      <c r="K1034" s="1">
        <v>9.2138399999999763</v>
      </c>
      <c r="L1034" s="1">
        <f t="shared" si="115"/>
        <v>-12.18904808988764</v>
      </c>
      <c r="M1034" s="1">
        <v>-245.25287</v>
      </c>
      <c r="N1034" s="1">
        <v>-31.703869999999998</v>
      </c>
    </row>
    <row r="1035" spans="1:14" x14ac:dyDescent="0.4">
      <c r="B1035" s="1">
        <v>52.299999999999798</v>
      </c>
      <c r="C1035" s="1" t="s">
        <v>1046</v>
      </c>
      <c r="D1035" s="3">
        <f t="shared" si="116"/>
        <v>1922.7000000000003</v>
      </c>
      <c r="E1035" s="1">
        <v>32.155700000000003</v>
      </c>
      <c r="F1035" s="1">
        <v>15.0321</v>
      </c>
      <c r="G1035" s="1">
        <v>3.5817000000000001</v>
      </c>
      <c r="H1035" s="1">
        <v>5.0126999999999997</v>
      </c>
      <c r="I1035" s="1">
        <v>34.554200000000002</v>
      </c>
      <c r="J1035" s="1">
        <f t="shared" si="114"/>
        <v>33.332283400000001</v>
      </c>
      <c r="K1035" s="1">
        <v>8.2581799999999816</v>
      </c>
      <c r="L1035" s="1">
        <f t="shared" si="115"/>
        <v>13.429698089887644</v>
      </c>
      <c r="M1035" s="1">
        <v>-239.56309999999999</v>
      </c>
      <c r="N1035" s="1">
        <v>-31.13879</v>
      </c>
    </row>
    <row r="1036" spans="1:14" x14ac:dyDescent="0.4">
      <c r="B1036" s="1">
        <v>52.349999999999802</v>
      </c>
      <c r="C1036" s="1" t="s">
        <v>1047</v>
      </c>
      <c r="D1036" s="3">
        <f t="shared" si="116"/>
        <v>1922.65</v>
      </c>
      <c r="E1036" s="1">
        <v>170.51949999999999</v>
      </c>
      <c r="F1036" s="1">
        <v>32.373100000000001</v>
      </c>
      <c r="G1036" s="1">
        <v>102.3998</v>
      </c>
      <c r="H1036" s="1">
        <v>14.782999999999999</v>
      </c>
      <c r="I1036" s="1">
        <v>65.020399999999995</v>
      </c>
      <c r="J1036" s="1">
        <f t="shared" si="114"/>
        <v>58.540658999999998</v>
      </c>
      <c r="K1036" s="1">
        <v>7.6335300000000075</v>
      </c>
      <c r="L1036" s="1">
        <f t="shared" si="115"/>
        <v>137.63148932584269</v>
      </c>
      <c r="M1036" s="1">
        <v>-233.00971999999999</v>
      </c>
      <c r="N1036" s="1">
        <v>-30.439540000000001</v>
      </c>
    </row>
    <row r="1037" spans="1:14" x14ac:dyDescent="0.4">
      <c r="B1037" s="1">
        <v>52.3999999999998</v>
      </c>
      <c r="C1037" s="1" t="s">
        <v>1048</v>
      </c>
      <c r="D1037" s="3">
        <f t="shared" si="116"/>
        <v>1922.6000000000001</v>
      </c>
      <c r="E1037" s="1">
        <v>50.312199999999997</v>
      </c>
      <c r="F1037" s="1">
        <v>19.6873</v>
      </c>
      <c r="G1037" s="1">
        <v>5.2167000000000003</v>
      </c>
      <c r="H1037" s="1">
        <v>10.415900000000001</v>
      </c>
      <c r="I1037" s="1">
        <v>88.185599999999994</v>
      </c>
      <c r="J1037" s="1">
        <f t="shared" si="114"/>
        <v>86.27373639999999</v>
      </c>
      <c r="K1037" s="1">
        <v>8.378089999999986</v>
      </c>
      <c r="L1037" s="1">
        <f t="shared" si="115"/>
        <v>1.8438087640449439</v>
      </c>
      <c r="M1037" s="1">
        <v>-230.94843</v>
      </c>
      <c r="N1037" s="1">
        <v>-30.29345</v>
      </c>
    </row>
    <row r="1038" spans="1:14" x14ac:dyDescent="0.4">
      <c r="B1038" s="1">
        <v>52.449999999999797</v>
      </c>
      <c r="C1038" s="1" t="s">
        <v>1049</v>
      </c>
      <c r="D1038" s="3">
        <f t="shared" si="116"/>
        <v>1922.5500000000002</v>
      </c>
      <c r="E1038" s="1">
        <v>29.195699999999999</v>
      </c>
      <c r="F1038" s="1">
        <v>20.137</v>
      </c>
      <c r="G1038" s="1">
        <v>5.3891999999999998</v>
      </c>
      <c r="H1038" s="1">
        <v>5.2328000000000001</v>
      </c>
      <c r="I1038" s="1">
        <v>30.606000000000002</v>
      </c>
      <c r="J1038" s="1">
        <f t="shared" si="114"/>
        <v>29.496563400000003</v>
      </c>
      <c r="K1038" s="1">
        <v>9.54722000000001</v>
      </c>
      <c r="L1038" s="1">
        <f t="shared" si="115"/>
        <v>12.624596966292131</v>
      </c>
      <c r="M1038" s="1">
        <v>-230.96339</v>
      </c>
      <c r="N1038" s="1">
        <v>-30.302099999999999</v>
      </c>
    </row>
    <row r="1039" spans="1:14" x14ac:dyDescent="0.4">
      <c r="B1039" s="1">
        <v>52.499999999999801</v>
      </c>
      <c r="C1039" s="1" t="s">
        <v>1050</v>
      </c>
      <c r="D1039" s="3">
        <f t="shared" si="116"/>
        <v>1922.5000000000002</v>
      </c>
      <c r="E1039" s="1">
        <v>22.732399999999998</v>
      </c>
      <c r="F1039" s="1">
        <v>16.002600000000001</v>
      </c>
      <c r="G1039" s="1">
        <v>7.2809999999999997</v>
      </c>
      <c r="H1039" s="1">
        <v>16.606100000000001</v>
      </c>
      <c r="I1039" s="1">
        <v>44.201599999999999</v>
      </c>
      <c r="J1039" s="1">
        <f t="shared" si="114"/>
        <v>43.337768799999999</v>
      </c>
      <c r="K1039" s="1">
        <v>10.50660000000002</v>
      </c>
      <c r="L1039" s="1">
        <f t="shared" si="115"/>
        <v>-1.6146611235955071</v>
      </c>
      <c r="M1039" s="1">
        <v>-235.07389000000001</v>
      </c>
      <c r="N1039" s="1">
        <v>-30.24822</v>
      </c>
    </row>
    <row r="1040" spans="1:14" x14ac:dyDescent="0.4">
      <c r="B1040" s="1">
        <v>52.549999999999798</v>
      </c>
      <c r="C1040" s="1" t="s">
        <v>1051</v>
      </c>
      <c r="D1040" s="3">
        <f t="shared" si="116"/>
        <v>1922.4500000000003</v>
      </c>
      <c r="E1040" s="1">
        <v>580.39359999999999</v>
      </c>
      <c r="F1040" s="1">
        <v>47.057899999999997</v>
      </c>
      <c r="G1040" s="1">
        <v>36.366</v>
      </c>
      <c r="H1040" s="1">
        <v>22.1555</v>
      </c>
      <c r="I1040" s="1">
        <v>65.012</v>
      </c>
      <c r="J1040" s="1">
        <f t="shared" si="114"/>
        <v>42.957043200000001</v>
      </c>
      <c r="K1040" s="1">
        <v>11.399169999999998</v>
      </c>
      <c r="L1040" s="1">
        <f t="shared" si="115"/>
        <v>556.2604296629213</v>
      </c>
      <c r="M1040" s="1">
        <v>-240.94974999999999</v>
      </c>
      <c r="N1040" s="1">
        <v>-30.839700000000001</v>
      </c>
    </row>
    <row r="1041" spans="1:14" x14ac:dyDescent="0.4">
      <c r="B1041" s="1">
        <v>52.599999999999802</v>
      </c>
      <c r="C1041" s="1" t="s">
        <v>1052</v>
      </c>
      <c r="D1041" s="3">
        <f t="shared" si="116"/>
        <v>1922.4</v>
      </c>
      <c r="E1041" s="1">
        <v>291.76490000000001</v>
      </c>
      <c r="F1041" s="1">
        <v>22.4011</v>
      </c>
      <c r="G1041" s="1">
        <v>55.787300000000002</v>
      </c>
      <c r="H1041" s="1">
        <v>29.982800000000001</v>
      </c>
      <c r="I1041" s="1">
        <v>52.655200000000001</v>
      </c>
      <c r="J1041" s="1">
        <f t="shared" si="114"/>
        <v>41.568133799999998</v>
      </c>
      <c r="K1041" s="1">
        <v>11.453409999999991</v>
      </c>
      <c r="L1041" s="1">
        <f t="shared" si="115"/>
        <v>268.41201584269663</v>
      </c>
      <c r="M1041" s="1">
        <v>-239.68756999999999</v>
      </c>
      <c r="N1041" s="1">
        <v>-31.697389999999999</v>
      </c>
    </row>
    <row r="1042" spans="1:14" x14ac:dyDescent="0.4">
      <c r="B1042" s="1">
        <v>52.6499999999998</v>
      </c>
      <c r="C1042" s="1" t="s">
        <v>1053</v>
      </c>
      <c r="D1042" s="3">
        <f t="shared" si="116"/>
        <v>1922.3500000000001</v>
      </c>
      <c r="E1042" s="1">
        <v>66.708299999999994</v>
      </c>
      <c r="F1042" s="1">
        <v>25.453099999999999</v>
      </c>
      <c r="G1042" s="1">
        <v>1.9388000000000001</v>
      </c>
      <c r="H1042" s="1">
        <v>13.179</v>
      </c>
      <c r="I1042" s="1">
        <v>21.351099999999999</v>
      </c>
      <c r="J1042" s="1">
        <f t="shared" si="114"/>
        <v>18.8161846</v>
      </c>
      <c r="K1042" s="1">
        <v>6.9118699999999933</v>
      </c>
      <c r="L1042" s="1">
        <f t="shared" si="115"/>
        <v>56.137409775280894</v>
      </c>
      <c r="M1042" s="1">
        <v>-236.27095</v>
      </c>
      <c r="N1042" s="1">
        <v>-31.39875</v>
      </c>
    </row>
    <row r="1043" spans="1:14" x14ac:dyDescent="0.4">
      <c r="B1043" s="1">
        <v>52.699999999999797</v>
      </c>
      <c r="C1043" s="1" t="s">
        <v>1054</v>
      </c>
      <c r="D1043" s="3">
        <f t="shared" si="116"/>
        <v>1922.3000000000002</v>
      </c>
      <c r="E1043" s="1">
        <v>59.947699999999998</v>
      </c>
      <c r="F1043" s="1">
        <v>13.505000000000001</v>
      </c>
      <c r="G1043" s="1">
        <v>2.8184999999999998</v>
      </c>
      <c r="H1043" s="1">
        <v>7.8665000000000003</v>
      </c>
      <c r="I1043" s="1">
        <v>30.377800000000001</v>
      </c>
      <c r="J1043" s="1">
        <f t="shared" si="114"/>
        <v>28.0997874</v>
      </c>
      <c r="K1043" s="1">
        <v>5.7678500000000099</v>
      </c>
      <c r="L1043" s="1">
        <f t="shared" si="115"/>
        <v>44.161302584269663</v>
      </c>
      <c r="M1043" s="1">
        <v>-236.84720999999999</v>
      </c>
      <c r="N1043" s="1">
        <v>-31.130289999999999</v>
      </c>
    </row>
    <row r="1044" spans="1:14" x14ac:dyDescent="0.4">
      <c r="B1044" s="1">
        <v>52.749999999999801</v>
      </c>
      <c r="C1044" s="1" t="s">
        <v>1055</v>
      </c>
      <c r="D1044" s="3">
        <f t="shared" si="116"/>
        <v>1922.2500000000002</v>
      </c>
      <c r="E1044" s="1">
        <v>33.844200000000001</v>
      </c>
      <c r="F1044" s="1">
        <v>16.5093</v>
      </c>
      <c r="G1044" s="1">
        <v>3.3778999999999999</v>
      </c>
      <c r="H1044" s="1">
        <v>6.9882</v>
      </c>
      <c r="I1044" s="1">
        <v>35.197400000000002</v>
      </c>
      <c r="J1044" s="1">
        <f t="shared" si="114"/>
        <v>33.911320400000001</v>
      </c>
      <c r="K1044" s="1">
        <v>13.891549999999995</v>
      </c>
      <c r="L1044" s="1">
        <f t="shared" si="115"/>
        <v>14.792896404494382</v>
      </c>
      <c r="M1044" s="1">
        <v>-237.35884999999999</v>
      </c>
      <c r="N1044" s="1">
        <v>-31.195139999999999</v>
      </c>
    </row>
    <row r="1045" spans="1:14" x14ac:dyDescent="0.4">
      <c r="B1045" s="1">
        <v>52.799999999999798</v>
      </c>
      <c r="C1045" s="1" t="s">
        <v>1056</v>
      </c>
      <c r="D1045" s="3">
        <f t="shared" si="116"/>
        <v>1922.2000000000003</v>
      </c>
      <c r="E1045" s="1">
        <v>293.65519999999998</v>
      </c>
      <c r="F1045" s="1">
        <v>24.632300000000001</v>
      </c>
      <c r="G1045" s="1">
        <v>12.704499999999999</v>
      </c>
      <c r="H1045" s="1">
        <v>40.377699999999997</v>
      </c>
      <c r="I1045" s="1">
        <v>68.124700000000004</v>
      </c>
      <c r="J1045" s="1">
        <f t="shared" si="114"/>
        <v>56.965802400000001</v>
      </c>
      <c r="K1045" s="1">
        <v>14.919049999999999</v>
      </c>
      <c r="L1045" s="1">
        <f t="shared" si="115"/>
        <v>261.65194022471906</v>
      </c>
      <c r="M1045" s="1">
        <v>-246.55289999999999</v>
      </c>
      <c r="N1045" s="1">
        <v>-31.015519999999999</v>
      </c>
    </row>
    <row r="1046" spans="1:14" x14ac:dyDescent="0.4">
      <c r="B1046" s="1">
        <v>52.849999999999802</v>
      </c>
      <c r="C1046" s="1" t="s">
        <v>1057</v>
      </c>
      <c r="D1046" s="3">
        <f t="shared" si="116"/>
        <v>1922.15</v>
      </c>
      <c r="E1046" s="1">
        <v>273.77339999999998</v>
      </c>
      <c r="F1046" s="1">
        <v>43.180100000000003</v>
      </c>
      <c r="G1046" s="1">
        <v>21.154499999999999</v>
      </c>
      <c r="H1046" s="1">
        <v>44.870399999999997</v>
      </c>
      <c r="I1046" s="1">
        <v>71.708500000000001</v>
      </c>
      <c r="J1046" s="1">
        <f t="shared" si="114"/>
        <v>61.305110800000001</v>
      </c>
      <c r="K1046" s="1">
        <v>12.19511</v>
      </c>
      <c r="L1046" s="1">
        <f t="shared" si="115"/>
        <v>239.33232651685393</v>
      </c>
      <c r="M1046" s="1">
        <v>-256.56315999999998</v>
      </c>
      <c r="N1046" s="1">
        <v>-32.290430000000001</v>
      </c>
    </row>
    <row r="1047" spans="1:14" x14ac:dyDescent="0.4">
      <c r="B1047" s="1">
        <v>52.8999999999998</v>
      </c>
      <c r="C1047" s="1" t="s">
        <v>1058</v>
      </c>
      <c r="D1047" s="3">
        <f t="shared" si="116"/>
        <v>1922.1000000000001</v>
      </c>
      <c r="E1047" s="1">
        <v>159.2251</v>
      </c>
      <c r="F1047" s="1">
        <v>14.415800000000001</v>
      </c>
      <c r="G1047" s="1">
        <v>12.479200000000001</v>
      </c>
      <c r="H1047" s="1">
        <v>25.8141</v>
      </c>
      <c r="I1047" s="1">
        <v>50.326700000000002</v>
      </c>
      <c r="J1047" s="1">
        <f t="shared" si="114"/>
        <v>44.276146199999999</v>
      </c>
      <c r="K1047" s="1">
        <v>12.202269999999999</v>
      </c>
      <c r="L1047" s="1">
        <f t="shared" si="115"/>
        <v>134.35086056179776</v>
      </c>
      <c r="M1047" s="1">
        <v>-268.92824999999999</v>
      </c>
      <c r="N1047" s="1">
        <v>-33.1999</v>
      </c>
    </row>
    <row r="1048" spans="1:14" x14ac:dyDescent="0.4">
      <c r="B1048" s="1">
        <v>52.949999999999797</v>
      </c>
      <c r="C1048" s="1" t="s">
        <v>1059</v>
      </c>
      <c r="D1048" s="3">
        <f t="shared" si="116"/>
        <v>1922.0500000000002</v>
      </c>
      <c r="E1048" s="1">
        <v>58.06</v>
      </c>
      <c r="F1048" s="1">
        <v>24.657599999999999</v>
      </c>
      <c r="G1048" s="1">
        <v>3.6124999999999998</v>
      </c>
      <c r="H1048" s="1">
        <v>9.4129000000000005</v>
      </c>
      <c r="I1048" s="1">
        <v>48.276800000000001</v>
      </c>
      <c r="J1048" s="1">
        <f t="shared" si="114"/>
        <v>46.070520000000002</v>
      </c>
      <c r="K1048" s="1">
        <v>1.5712599999999952</v>
      </c>
      <c r="L1048" s="1">
        <f t="shared" si="115"/>
        <v>32.177685393258429</v>
      </c>
      <c r="M1048" s="1">
        <v>-274.35991999999999</v>
      </c>
      <c r="N1048" s="1">
        <v>-34.629820000000002</v>
      </c>
    </row>
    <row r="1049" spans="1:14" x14ac:dyDescent="0.4">
      <c r="A1049" s="1">
        <v>1922</v>
      </c>
      <c r="B1049" s="1">
        <v>52.999999999999801</v>
      </c>
      <c r="C1049" s="1" t="s">
        <v>1060</v>
      </c>
      <c r="D1049" s="3">
        <f>-1.818182*B1049+2018.363636</f>
        <v>1921.9999900000005</v>
      </c>
      <c r="E1049" s="1">
        <v>17.592400000000001</v>
      </c>
      <c r="F1049" s="1">
        <v>5.8733000000000004</v>
      </c>
      <c r="G1049" s="1">
        <v>42.906599999999997</v>
      </c>
      <c r="H1049" s="1">
        <v>6.1985999999999999</v>
      </c>
      <c r="I1049" s="1">
        <v>38.0732</v>
      </c>
      <c r="J1049" s="1">
        <f t="shared" si="114"/>
        <v>37.404688800000002</v>
      </c>
      <c r="K1049" s="1">
        <v>1.7602800000000229</v>
      </c>
      <c r="L1049" s="1">
        <f t="shared" si="115"/>
        <v>-3.4214701123595503</v>
      </c>
      <c r="M1049" s="1">
        <v>-271.69830999999999</v>
      </c>
      <c r="N1049" s="1">
        <v>-35.350729999999999</v>
      </c>
    </row>
    <row r="1050" spans="1:14" x14ac:dyDescent="0.4">
      <c r="B1050" s="1">
        <v>53.049999999999798</v>
      </c>
      <c r="C1050" s="1" t="s">
        <v>1061</v>
      </c>
      <c r="D1050" s="3">
        <f t="shared" ref="D1050:D1059" si="117">-1.818182*B1050+2018.363636</f>
        <v>1921.9090809000004</v>
      </c>
      <c r="E1050" s="1">
        <v>15.4854</v>
      </c>
      <c r="F1050" s="1">
        <v>11.163600000000001</v>
      </c>
      <c r="G1050" s="1">
        <v>3.8588</v>
      </c>
      <c r="H1050" s="1">
        <v>4.2889999999999997</v>
      </c>
      <c r="I1050" s="1">
        <v>46.6905</v>
      </c>
      <c r="J1050" s="1">
        <f t="shared" si="114"/>
        <v>46.102054799999998</v>
      </c>
      <c r="K1050" s="1">
        <v>-3.3290499999999952</v>
      </c>
      <c r="L1050" s="1">
        <f t="shared" si="115"/>
        <v>-10.414630786516851</v>
      </c>
      <c r="M1050" s="1">
        <v>-256.3664</v>
      </c>
      <c r="N1050" s="1">
        <v>-33.049050000000001</v>
      </c>
    </row>
    <row r="1051" spans="1:14" x14ac:dyDescent="0.4">
      <c r="B1051" s="1">
        <v>53.099999999999802</v>
      </c>
      <c r="C1051" s="1" t="s">
        <v>1062</v>
      </c>
      <c r="D1051" s="3">
        <f t="shared" si="117"/>
        <v>1921.8181718000003</v>
      </c>
      <c r="E1051" s="1">
        <v>22.684200000000001</v>
      </c>
      <c r="F1051" s="1">
        <v>10.879099999999999</v>
      </c>
      <c r="G1051" s="1">
        <v>3.5819000000000001</v>
      </c>
      <c r="H1051" s="1">
        <v>13.260199999999999</v>
      </c>
      <c r="I1051" s="1">
        <v>29.1523</v>
      </c>
      <c r="J1051" s="1">
        <f t="shared" si="114"/>
        <v>28.2903004</v>
      </c>
      <c r="K1051" s="1">
        <v>2.6786400000000299</v>
      </c>
      <c r="L1051" s="1">
        <f t="shared" si="115"/>
        <v>6.7907728089887645</v>
      </c>
    </row>
    <row r="1052" spans="1:14" x14ac:dyDescent="0.4">
      <c r="B1052" s="1">
        <v>53.1499999999998</v>
      </c>
      <c r="C1052" s="1" t="s">
        <v>1063</v>
      </c>
      <c r="D1052" s="3">
        <f t="shared" si="117"/>
        <v>1921.7272627000004</v>
      </c>
      <c r="E1052" s="7">
        <v>50.705599999999997</v>
      </c>
      <c r="F1052" s="7">
        <v>2.8199000000000001</v>
      </c>
      <c r="G1052" s="1">
        <v>1.4086000000000001</v>
      </c>
      <c r="H1052" s="1">
        <v>7.0937000000000001</v>
      </c>
      <c r="I1052" s="1">
        <v>37.077500000000001</v>
      </c>
      <c r="J1052" s="1">
        <f t="shared" si="114"/>
        <v>35.1506872</v>
      </c>
      <c r="K1052" s="1">
        <v>11.107529999999997</v>
      </c>
      <c r="L1052" s="1">
        <f t="shared" si="115"/>
        <v>30.958022921348313</v>
      </c>
      <c r="M1052" s="1">
        <v>-228.43364</v>
      </c>
      <c r="N1052" s="1">
        <v>-31.405090000000001</v>
      </c>
    </row>
    <row r="1053" spans="1:14" x14ac:dyDescent="0.4">
      <c r="B1053" s="1">
        <v>53.199999999999797</v>
      </c>
      <c r="C1053" s="1" t="s">
        <v>1064</v>
      </c>
      <c r="D1053" s="3">
        <f t="shared" si="117"/>
        <v>1921.6363536000003</v>
      </c>
      <c r="E1053" s="1">
        <v>10.2895</v>
      </c>
      <c r="F1053" s="1">
        <v>8.7195</v>
      </c>
      <c r="G1053" s="1">
        <v>3.2919</v>
      </c>
      <c r="H1053" s="1">
        <v>7.3692000000000002</v>
      </c>
      <c r="I1053" s="1">
        <v>54.664400000000001</v>
      </c>
      <c r="J1053" s="1">
        <f t="shared" si="114"/>
        <v>54.273398999999998</v>
      </c>
      <c r="K1053" s="1">
        <v>8.0260000000000105</v>
      </c>
      <c r="L1053" s="1">
        <f t="shared" si="115"/>
        <v>-20.201173595505615</v>
      </c>
      <c r="M1053" s="1">
        <v>-229.51026999999999</v>
      </c>
      <c r="N1053" s="1">
        <v>-30.267430000000001</v>
      </c>
    </row>
    <row r="1054" spans="1:14" x14ac:dyDescent="0.4">
      <c r="B1054" s="1">
        <v>53.249999999999801</v>
      </c>
      <c r="C1054" s="1" t="s">
        <v>1065</v>
      </c>
      <c r="D1054" s="3">
        <f t="shared" si="117"/>
        <v>1921.5454445000005</v>
      </c>
      <c r="E1054" s="1">
        <v>40.648600000000002</v>
      </c>
      <c r="F1054" s="1">
        <v>16.268999999999998</v>
      </c>
      <c r="G1054" s="1">
        <v>12.5444</v>
      </c>
      <c r="H1054" s="1">
        <v>8.6090999999999998</v>
      </c>
      <c r="I1054" s="1">
        <v>72.276700000000005</v>
      </c>
      <c r="J1054" s="1">
        <f t="shared" si="114"/>
        <v>70.73205320000001</v>
      </c>
      <c r="K1054" s="1">
        <v>27.323880000000003</v>
      </c>
      <c r="L1054" s="1">
        <f t="shared" si="115"/>
        <v>0.91149146067415643</v>
      </c>
      <c r="M1054" s="1">
        <v>-229.55493999999999</v>
      </c>
      <c r="N1054" s="1">
        <v>-29.93468</v>
      </c>
    </row>
    <row r="1055" spans="1:14" x14ac:dyDescent="0.4">
      <c r="B1055" s="1">
        <v>53.299999999999798</v>
      </c>
      <c r="C1055" s="1" t="s">
        <v>1066</v>
      </c>
      <c r="D1055" s="3">
        <f t="shared" si="117"/>
        <v>1921.4545354000004</v>
      </c>
      <c r="E1055" s="1">
        <v>37.714500000000001</v>
      </c>
      <c r="F1055" s="1">
        <v>6.1227</v>
      </c>
      <c r="G1055" s="1">
        <v>1.6327</v>
      </c>
      <c r="H1055" s="1">
        <v>4.4893000000000001</v>
      </c>
      <c r="I1055" s="1">
        <v>15.9475</v>
      </c>
      <c r="J1055" s="1">
        <f t="shared" si="114"/>
        <v>14.514348999999999</v>
      </c>
      <c r="K1055" s="1">
        <v>22.807080000000013</v>
      </c>
      <c r="L1055" s="1">
        <f t="shared" si="115"/>
        <v>29.560371348314611</v>
      </c>
      <c r="M1055" s="1">
        <v>-224.29320000000001</v>
      </c>
      <c r="N1055" s="1">
        <v>-29.809850000000001</v>
      </c>
    </row>
    <row r="1056" spans="1:14" x14ac:dyDescent="0.4">
      <c r="B1056" s="1">
        <v>53.349999999999802</v>
      </c>
      <c r="C1056" s="1" t="s">
        <v>1067</v>
      </c>
      <c r="D1056" s="3">
        <f t="shared" si="117"/>
        <v>1921.3636263000003</v>
      </c>
      <c r="E1056" s="1">
        <v>112.87439999999999</v>
      </c>
      <c r="F1056" s="1">
        <v>25.338000000000001</v>
      </c>
      <c r="G1056" s="1">
        <v>6.4084000000000003</v>
      </c>
      <c r="H1056" s="1">
        <v>12.4312</v>
      </c>
      <c r="I1056" s="1">
        <v>47.901200000000003</v>
      </c>
      <c r="J1056" s="1">
        <f t="shared" si="114"/>
        <v>43.611972800000004</v>
      </c>
      <c r="K1056" s="1">
        <v>12.629170000000016</v>
      </c>
      <c r="L1056" s="1">
        <f t="shared" si="115"/>
        <v>88.373291685393255</v>
      </c>
      <c r="M1056" s="1">
        <v>-219.66161</v>
      </c>
      <c r="N1056" s="1">
        <v>-29.249759999999998</v>
      </c>
    </row>
    <row r="1057" spans="1:14" x14ac:dyDescent="0.4">
      <c r="B1057" s="1">
        <v>53.3999999999998</v>
      </c>
      <c r="C1057" s="1" t="s">
        <v>1068</v>
      </c>
      <c r="D1057" s="3">
        <f t="shared" si="117"/>
        <v>1921.2727172000004</v>
      </c>
      <c r="E1057" s="1">
        <v>54.053100000000001</v>
      </c>
      <c r="F1057" s="1">
        <v>14.8088</v>
      </c>
      <c r="G1057" s="1">
        <v>5.3433999999999999</v>
      </c>
      <c r="H1057" s="1">
        <v>8.3966999999999992</v>
      </c>
      <c r="I1057" s="1">
        <v>102.1913</v>
      </c>
      <c r="J1057" s="1">
        <f t="shared" si="114"/>
        <v>100.1372822</v>
      </c>
      <c r="K1057" s="1">
        <v>9.9225000000000136</v>
      </c>
      <c r="L1057" s="1">
        <f t="shared" si="115"/>
        <v>-2.2038001123595521</v>
      </c>
      <c r="M1057" s="1">
        <v>-213.29765</v>
      </c>
      <c r="N1057" s="1">
        <v>-27.89725</v>
      </c>
    </row>
    <row r="1058" spans="1:14" x14ac:dyDescent="0.4">
      <c r="B1058" s="1">
        <v>53.449999999999797</v>
      </c>
      <c r="C1058" s="1" t="s">
        <v>1069</v>
      </c>
      <c r="D1058" s="3">
        <f t="shared" si="117"/>
        <v>1921.1818081000004</v>
      </c>
      <c r="E1058" s="1">
        <v>63.969499999999996</v>
      </c>
      <c r="F1058" s="1">
        <v>51.9621</v>
      </c>
      <c r="G1058" s="1">
        <v>16.6721</v>
      </c>
      <c r="H1058" s="1">
        <v>7.6826999999999996</v>
      </c>
      <c r="I1058" s="1">
        <v>42.795099999999998</v>
      </c>
      <c r="J1058" s="1">
        <f t="shared" si="114"/>
        <v>40.364258999999997</v>
      </c>
      <c r="K1058" s="1">
        <v>14.185599999999994</v>
      </c>
      <c r="L1058" s="1">
        <f t="shared" si="115"/>
        <v>41.292949999999998</v>
      </c>
      <c r="M1058" s="1">
        <v>-214.82404</v>
      </c>
      <c r="N1058" s="1">
        <v>-28.286100000000001</v>
      </c>
    </row>
    <row r="1059" spans="1:14" x14ac:dyDescent="0.4">
      <c r="B1059" s="1">
        <v>53.499999999999801</v>
      </c>
      <c r="C1059" s="1" t="s">
        <v>1070</v>
      </c>
      <c r="D1059" s="3">
        <f t="shared" si="117"/>
        <v>1921.0908990000005</v>
      </c>
      <c r="E1059" s="1">
        <v>63.372100000000003</v>
      </c>
      <c r="F1059" s="1">
        <v>28.7332</v>
      </c>
      <c r="G1059" s="1">
        <v>4.28</v>
      </c>
      <c r="H1059" s="1">
        <v>11.6677</v>
      </c>
      <c r="I1059" s="1">
        <v>59.118299999999998</v>
      </c>
      <c r="J1059" s="1">
        <f t="shared" si="114"/>
        <v>56.710160199999997</v>
      </c>
      <c r="K1059" s="1">
        <v>14.336469999999991</v>
      </c>
      <c r="L1059" s="1">
        <f t="shared" si="115"/>
        <v>31.512459438202253</v>
      </c>
      <c r="M1059" s="1">
        <v>-219.83866</v>
      </c>
      <c r="N1059" s="1">
        <v>-28.884119999999999</v>
      </c>
    </row>
    <row r="1060" spans="1:14" x14ac:dyDescent="0.4">
      <c r="A1060" s="1">
        <v>1921</v>
      </c>
      <c r="B1060" s="1">
        <v>53.549999999999798</v>
      </c>
      <c r="C1060" s="1" t="s">
        <v>1071</v>
      </c>
      <c r="D1060" s="3">
        <f t="shared" ref="D1060:D1065" si="118">-3.33333*B1060+2099.5</f>
        <v>1921.0001785000006</v>
      </c>
      <c r="E1060" s="1">
        <v>82.495900000000006</v>
      </c>
      <c r="F1060" s="1">
        <v>11.963100000000001</v>
      </c>
      <c r="G1060" s="1">
        <v>6.2038000000000002</v>
      </c>
      <c r="H1060" s="1">
        <v>7.8487</v>
      </c>
      <c r="I1060" s="1">
        <v>38.910400000000003</v>
      </c>
      <c r="J1060" s="1">
        <f t="shared" si="114"/>
        <v>35.775555799999999</v>
      </c>
      <c r="K1060" s="1">
        <v>9.8803499999999929</v>
      </c>
      <c r="L1060" s="1">
        <f t="shared" si="115"/>
        <v>62.39727314606742</v>
      </c>
      <c r="M1060" s="1">
        <v>-228.52497</v>
      </c>
      <c r="N1060" s="1">
        <v>-29.735980000000001</v>
      </c>
    </row>
    <row r="1061" spans="1:14" x14ac:dyDescent="0.4">
      <c r="B1061" s="1">
        <v>53.599999999999902</v>
      </c>
      <c r="C1061" s="1" t="s">
        <v>1072</v>
      </c>
      <c r="D1061" s="3">
        <f t="shared" si="118"/>
        <v>1920.8335120000004</v>
      </c>
      <c r="E1061" s="1">
        <v>37.363</v>
      </c>
      <c r="F1061" s="1">
        <v>16.252700000000001</v>
      </c>
      <c r="G1061" s="1">
        <v>3.5194000000000001</v>
      </c>
      <c r="H1061" s="1">
        <v>15.0844</v>
      </c>
      <c r="I1061" s="1">
        <v>91.248599999999996</v>
      </c>
      <c r="J1061" s="1">
        <f t="shared" si="114"/>
        <v>89.828806</v>
      </c>
      <c r="K1061" s="1">
        <v>11.464760000000012</v>
      </c>
      <c r="L1061" s="1">
        <f t="shared" si="115"/>
        <v>-13.102621348314607</v>
      </c>
      <c r="M1061" s="1">
        <v>-238.63095000000001</v>
      </c>
      <c r="N1061" s="1">
        <v>-30.929359999999999</v>
      </c>
    </row>
    <row r="1062" spans="1:14" x14ac:dyDescent="0.4">
      <c r="B1062" s="1">
        <v>53.649999999999899</v>
      </c>
      <c r="C1062" s="1" t="s">
        <v>1073</v>
      </c>
      <c r="D1062" s="3">
        <f t="shared" si="118"/>
        <v>1920.6668455000004</v>
      </c>
      <c r="E1062" s="1">
        <v>68.694699999999997</v>
      </c>
      <c r="F1062" s="1">
        <v>73.398200000000003</v>
      </c>
      <c r="G1062" s="1">
        <v>32.183199999999999</v>
      </c>
      <c r="H1062" s="1">
        <v>9.1066000000000003</v>
      </c>
      <c r="I1062" s="1">
        <v>112.67230000000001</v>
      </c>
      <c r="J1062" s="1">
        <f t="shared" si="114"/>
        <v>110.06190140000001</v>
      </c>
      <c r="K1062" s="1">
        <v>11.23429999999999</v>
      </c>
      <c r="L1062" s="1">
        <f t="shared" si="115"/>
        <v>6.8621711235954947</v>
      </c>
      <c r="M1062" s="1">
        <v>-250.25480999999999</v>
      </c>
      <c r="N1062" s="1">
        <v>-32.041789999999999</v>
      </c>
    </row>
    <row r="1063" spans="1:14" x14ac:dyDescent="0.4">
      <c r="B1063" s="1">
        <v>53.699999999999903</v>
      </c>
      <c r="C1063" s="1" t="s">
        <v>1074</v>
      </c>
      <c r="D1063" s="3">
        <f t="shared" si="118"/>
        <v>1920.5001790000003</v>
      </c>
      <c r="E1063" s="1">
        <v>26.731400000000001</v>
      </c>
      <c r="F1063" s="1">
        <v>24.5381</v>
      </c>
      <c r="G1063" s="1">
        <v>3.9245000000000001</v>
      </c>
      <c r="H1063" s="1">
        <v>68.159099999999995</v>
      </c>
      <c r="I1063" s="1">
        <v>162.73779999999999</v>
      </c>
      <c r="J1063" s="1">
        <f t="shared" si="114"/>
        <v>161.7220068</v>
      </c>
      <c r="K1063" s="1">
        <v>9.3628700000000151</v>
      </c>
      <c r="L1063" s="1">
        <f t="shared" si="115"/>
        <v>-64.123660000000001</v>
      </c>
      <c r="M1063" s="1">
        <v>-255.87053</v>
      </c>
      <c r="N1063" s="1">
        <v>-32.876629999999999</v>
      </c>
    </row>
    <row r="1064" spans="1:14" x14ac:dyDescent="0.4">
      <c r="B1064" s="1">
        <v>53.749999999999901</v>
      </c>
      <c r="C1064" s="1" t="s">
        <v>1075</v>
      </c>
      <c r="D1064" s="3">
        <f t="shared" si="118"/>
        <v>1920.3335125000003</v>
      </c>
      <c r="E1064" s="1">
        <v>291.19229999999999</v>
      </c>
      <c r="F1064" s="1">
        <v>77.597999999999999</v>
      </c>
      <c r="G1064" s="1">
        <v>297.3879</v>
      </c>
      <c r="H1064" s="1">
        <v>33.694499999999998</v>
      </c>
      <c r="I1064" s="1">
        <v>146.88050000000001</v>
      </c>
      <c r="J1064" s="1">
        <f t="shared" si="114"/>
        <v>135.81519260000002</v>
      </c>
      <c r="K1064" s="1">
        <v>8.8039299999999798</v>
      </c>
      <c r="L1064" s="1">
        <f t="shared" si="115"/>
        <v>214.89162999999996</v>
      </c>
      <c r="M1064" s="1">
        <v>-253.33131</v>
      </c>
      <c r="N1064" s="1">
        <v>-32.782640000000001</v>
      </c>
    </row>
    <row r="1065" spans="1:14" x14ac:dyDescent="0.4">
      <c r="B1065" s="1">
        <v>53.799999999999898</v>
      </c>
      <c r="C1065" s="1" t="s">
        <v>1076</v>
      </c>
      <c r="D1065" s="3">
        <f t="shared" si="118"/>
        <v>1920.1668460000003</v>
      </c>
      <c r="E1065" s="1">
        <v>38.832900000000002</v>
      </c>
      <c r="F1065" s="1">
        <v>13.3636</v>
      </c>
      <c r="G1065" s="1">
        <v>3.4085999999999999</v>
      </c>
      <c r="H1065" s="1">
        <v>4.4497</v>
      </c>
      <c r="I1065" s="1">
        <v>64.557400000000001</v>
      </c>
      <c r="J1065" s="1">
        <f t="shared" si="114"/>
        <v>63.081749800000004</v>
      </c>
      <c r="K1065" s="1">
        <v>6.0795099999999991</v>
      </c>
      <c r="L1065" s="1">
        <f t="shared" si="115"/>
        <v>3.3937147191011263</v>
      </c>
      <c r="M1065" s="1">
        <v>-238.25131999999999</v>
      </c>
      <c r="N1065" s="1">
        <v>-30.994140000000002</v>
      </c>
    </row>
    <row r="1066" spans="1:14" x14ac:dyDescent="0.4">
      <c r="A1066" s="1">
        <v>1920</v>
      </c>
      <c r="B1066" s="1">
        <v>53.849999999999902</v>
      </c>
      <c r="C1066" s="1" t="s">
        <v>1077</v>
      </c>
      <c r="D1066" s="3">
        <f>-2*B1066+2027.7</f>
        <v>1920.0000000000002</v>
      </c>
      <c r="E1066" s="1">
        <v>153.5728</v>
      </c>
      <c r="F1066" s="1">
        <v>19.451000000000001</v>
      </c>
      <c r="G1066" s="1">
        <v>41.7363</v>
      </c>
      <c r="H1066" s="1">
        <v>12.3375</v>
      </c>
      <c r="I1066" s="1">
        <v>50.802399999999999</v>
      </c>
      <c r="J1066" s="1">
        <f t="shared" si="114"/>
        <v>44.966633600000002</v>
      </c>
      <c r="K1066" s="1">
        <v>7.1425099999999873</v>
      </c>
      <c r="L1066" s="1">
        <f t="shared" si="115"/>
        <v>128.31064629213483</v>
      </c>
      <c r="M1066" s="1">
        <v>-231.99818999999999</v>
      </c>
      <c r="N1066" s="1">
        <v>-30.084</v>
      </c>
    </row>
    <row r="1067" spans="1:14" x14ac:dyDescent="0.4">
      <c r="B1067" s="1">
        <v>53.899999999999899</v>
      </c>
      <c r="C1067" s="1" t="s">
        <v>1078</v>
      </c>
      <c r="D1067" s="3">
        <f t="shared" ref="D1067:D1075" si="119">-2*B1067+2027.7</f>
        <v>1919.9000000000003</v>
      </c>
      <c r="E1067" s="1">
        <v>44.3705</v>
      </c>
      <c r="F1067" s="1">
        <v>17.321999999999999</v>
      </c>
      <c r="G1067" s="1">
        <v>7.2446000000000002</v>
      </c>
      <c r="H1067" s="1">
        <v>6.3720999999999997</v>
      </c>
      <c r="I1067" s="1">
        <v>80.347499999999997</v>
      </c>
      <c r="J1067" s="1">
        <f t="shared" si="114"/>
        <v>78.66142099999999</v>
      </c>
      <c r="K1067" s="1">
        <v>8.9298100000000034</v>
      </c>
      <c r="L1067" s="1">
        <f t="shared" si="115"/>
        <v>0.17869044943820711</v>
      </c>
      <c r="M1067" s="1">
        <v>-226.51680999999999</v>
      </c>
      <c r="N1067" s="1">
        <v>-29.488569999999999</v>
      </c>
    </row>
    <row r="1068" spans="1:14" x14ac:dyDescent="0.4">
      <c r="B1068" s="1">
        <v>53.949999999999903</v>
      </c>
      <c r="C1068" s="1" t="s">
        <v>1079</v>
      </c>
      <c r="D1068" s="3">
        <f t="shared" si="119"/>
        <v>1919.8000000000002</v>
      </c>
      <c r="E1068" s="1">
        <v>23.096900000000002</v>
      </c>
      <c r="F1068" s="1">
        <v>36.141300000000001</v>
      </c>
      <c r="G1068" s="1">
        <v>9.1631999999999998</v>
      </c>
      <c r="H1068" s="1">
        <v>4.4229000000000003</v>
      </c>
      <c r="I1068" s="1">
        <v>41.049900000000001</v>
      </c>
      <c r="J1068" s="1">
        <f t="shared" si="114"/>
        <v>40.172217799999999</v>
      </c>
      <c r="K1068" s="1">
        <v>9.70180000000002</v>
      </c>
      <c r="L1068" s="1">
        <f t="shared" si="115"/>
        <v>0.52823831460674597</v>
      </c>
      <c r="M1068" s="1">
        <v>-226.97671</v>
      </c>
      <c r="N1068" s="1">
        <v>-28.79833</v>
      </c>
    </row>
    <row r="1069" spans="1:14" x14ac:dyDescent="0.4">
      <c r="B1069" s="1">
        <v>53.999999999999901</v>
      </c>
      <c r="C1069" s="1" t="s">
        <v>1080</v>
      </c>
      <c r="D1069" s="3">
        <f t="shared" si="119"/>
        <v>1919.7000000000003</v>
      </c>
      <c r="E1069" s="1">
        <v>35.080500000000001</v>
      </c>
      <c r="F1069" s="1">
        <v>16.418399999999998</v>
      </c>
      <c r="G1069" s="1">
        <v>17.8675</v>
      </c>
      <c r="H1069" s="1">
        <v>58.016100000000002</v>
      </c>
      <c r="I1069" s="1">
        <v>143.84299999999999</v>
      </c>
      <c r="J1069" s="1">
        <f t="shared" si="114"/>
        <v>142.509941</v>
      </c>
      <c r="K1069" s="1">
        <v>8.6738100000000031</v>
      </c>
      <c r="L1069" s="1">
        <f t="shared" si="115"/>
        <v>-44.981264606741576</v>
      </c>
      <c r="M1069" s="1">
        <v>-228.78380999999999</v>
      </c>
      <c r="N1069" s="1">
        <v>-29.19529</v>
      </c>
    </row>
    <row r="1070" spans="1:14" x14ac:dyDescent="0.4">
      <c r="B1070" s="1">
        <v>54.049999999999898</v>
      </c>
      <c r="C1070" s="1" t="s">
        <v>1081</v>
      </c>
      <c r="D1070" s="3">
        <f t="shared" si="119"/>
        <v>1919.6000000000004</v>
      </c>
      <c r="E1070" s="1">
        <v>23.284099999999999</v>
      </c>
      <c r="F1070" s="1">
        <v>49.726799999999997</v>
      </c>
      <c r="G1070" s="1">
        <v>3.5752999999999999</v>
      </c>
      <c r="H1070" s="1">
        <v>3.4239999999999999</v>
      </c>
      <c r="I1070" s="1">
        <v>29.193999999999999</v>
      </c>
      <c r="J1070" s="1">
        <f t="shared" si="114"/>
        <v>28.3092042</v>
      </c>
      <c r="K1070" s="1">
        <v>9.3917500000000018</v>
      </c>
      <c r="L1070" s="1">
        <f t="shared" si="115"/>
        <v>7.3800526966292122</v>
      </c>
      <c r="M1070" s="1">
        <v>-234.52814000000001</v>
      </c>
      <c r="N1070" s="1">
        <v>-30.301279999999998</v>
      </c>
    </row>
    <row r="1071" spans="1:14" x14ac:dyDescent="0.4">
      <c r="B1071" s="1">
        <v>54.099999999999902</v>
      </c>
      <c r="C1071" s="1" t="s">
        <v>1082</v>
      </c>
      <c r="D1071" s="3">
        <f t="shared" si="119"/>
        <v>1919.5000000000002</v>
      </c>
      <c r="E1071" s="1">
        <v>29.3172</v>
      </c>
      <c r="F1071" s="1">
        <v>9.6279000000000003</v>
      </c>
      <c r="G1071" s="1">
        <v>2.4384000000000001</v>
      </c>
      <c r="H1071" s="1">
        <v>4.6563999999999997</v>
      </c>
      <c r="I1071" s="1">
        <v>17.6754</v>
      </c>
      <c r="J1071" s="1">
        <f t="shared" si="114"/>
        <v>16.561346400000001</v>
      </c>
      <c r="K1071" s="1">
        <v>3.4099300000000028</v>
      </c>
      <c r="L1071" s="1">
        <f t="shared" si="115"/>
        <v>20.013072808988763</v>
      </c>
      <c r="M1071" s="1">
        <v>-239.00366</v>
      </c>
      <c r="N1071" s="1">
        <v>-30.575780000000002</v>
      </c>
    </row>
    <row r="1072" spans="1:14" x14ac:dyDescent="0.4">
      <c r="B1072" s="1">
        <v>54.149999999999899</v>
      </c>
      <c r="C1072" s="1" t="s">
        <v>1083</v>
      </c>
      <c r="D1072" s="3">
        <f t="shared" si="119"/>
        <v>1919.4000000000003</v>
      </c>
      <c r="E1072" s="1">
        <v>60.993699999999997</v>
      </c>
      <c r="F1072" s="1">
        <v>23.8596</v>
      </c>
      <c r="G1072" s="1">
        <v>30.873899999999999</v>
      </c>
      <c r="H1072" s="1">
        <v>6.1147</v>
      </c>
      <c r="I1072" s="1">
        <v>11.9986</v>
      </c>
      <c r="J1072" s="1">
        <f t="shared" si="114"/>
        <v>9.6808394</v>
      </c>
      <c r="K1072" s="1">
        <v>4.7785100000000114</v>
      </c>
      <c r="L1072" s="1">
        <f t="shared" si="115"/>
        <v>55.555026179775275</v>
      </c>
      <c r="M1072" s="1">
        <v>-236.88932</v>
      </c>
      <c r="N1072" s="1">
        <v>-30.526299999999999</v>
      </c>
    </row>
    <row r="1073" spans="1:14" x14ac:dyDescent="0.4">
      <c r="B1073" s="1">
        <v>54.199999999999903</v>
      </c>
      <c r="C1073" s="1" t="s">
        <v>1084</v>
      </c>
      <c r="D1073" s="3">
        <f t="shared" si="119"/>
        <v>1919.3000000000002</v>
      </c>
      <c r="E1073" s="1">
        <v>29.067799999999998</v>
      </c>
      <c r="F1073" s="1">
        <v>27.162400000000002</v>
      </c>
      <c r="G1073" s="1">
        <v>5.6352000000000002</v>
      </c>
      <c r="H1073" s="1">
        <v>4.5396999999999998</v>
      </c>
      <c r="I1073" s="1">
        <v>23.067299999999999</v>
      </c>
      <c r="J1073" s="1">
        <f t="shared" si="114"/>
        <v>21.9627236</v>
      </c>
      <c r="K1073" s="1">
        <v>7.8820999999999799</v>
      </c>
      <c r="L1073" s="1">
        <f t="shared" si="115"/>
        <v>16.729191235955057</v>
      </c>
      <c r="M1073" s="1">
        <v>-236.18911</v>
      </c>
      <c r="N1073" s="1">
        <v>-30.3827</v>
      </c>
    </row>
    <row r="1074" spans="1:14" x14ac:dyDescent="0.4">
      <c r="B1074" s="1">
        <v>54.249999999999901</v>
      </c>
      <c r="C1074" s="1" t="s">
        <v>1085</v>
      </c>
      <c r="D1074" s="3">
        <f t="shared" si="119"/>
        <v>1919.2000000000003</v>
      </c>
      <c r="E1074" s="1">
        <v>24.417999999999999</v>
      </c>
      <c r="F1074" s="1">
        <v>13.416600000000001</v>
      </c>
      <c r="G1074" s="1">
        <v>11.3803</v>
      </c>
      <c r="H1074" s="1">
        <v>3.9830000000000001</v>
      </c>
      <c r="I1074" s="1">
        <v>37.5047</v>
      </c>
      <c r="J1074" s="1">
        <f t="shared" si="114"/>
        <v>36.576816000000001</v>
      </c>
      <c r="K1074" s="1">
        <v>5.6025800000000174</v>
      </c>
      <c r="L1074" s="1">
        <f t="shared" si="115"/>
        <v>3.8692269662921355</v>
      </c>
      <c r="M1074" s="1">
        <v>-225.54998000000001</v>
      </c>
      <c r="N1074" s="1">
        <v>-29.245889999999999</v>
      </c>
    </row>
    <row r="1075" spans="1:14" x14ac:dyDescent="0.4">
      <c r="B1075" s="1">
        <v>54.299999999999898</v>
      </c>
      <c r="C1075" s="1" t="s">
        <v>1086</v>
      </c>
      <c r="D1075" s="3">
        <f t="shared" si="119"/>
        <v>1919.1000000000004</v>
      </c>
      <c r="E1075" s="1">
        <v>59.234299999999998</v>
      </c>
      <c r="F1075" s="1">
        <v>14.031499999999999</v>
      </c>
      <c r="G1075" s="1">
        <v>3.9060000000000001</v>
      </c>
      <c r="H1075" s="1">
        <v>9.9064999999999994</v>
      </c>
      <c r="I1075" s="1">
        <v>94.867999999999995</v>
      </c>
      <c r="J1075" s="1">
        <f t="shared" si="114"/>
        <v>92.617096599999996</v>
      </c>
      <c r="K1075" s="1">
        <v>7.3210799999999949</v>
      </c>
      <c r="L1075" s="1">
        <f t="shared" si="115"/>
        <v>7.2022232584269688</v>
      </c>
      <c r="M1075" s="1">
        <v>-225.50353000000001</v>
      </c>
      <c r="N1075" s="1">
        <v>-29.46538</v>
      </c>
    </row>
    <row r="1076" spans="1:14" x14ac:dyDescent="0.4">
      <c r="A1076" s="1">
        <v>1919</v>
      </c>
      <c r="B1076" s="1">
        <v>54.349999999999902</v>
      </c>
      <c r="C1076" s="1" t="s">
        <v>1087</v>
      </c>
      <c r="D1076" s="3">
        <f>-1.25*B1076+1986.9375</f>
        <v>1919.0000000000002</v>
      </c>
      <c r="E1076" s="1">
        <v>130.40819999999999</v>
      </c>
      <c r="F1076" s="1">
        <v>36.660600000000002</v>
      </c>
      <c r="G1076" s="1">
        <v>70.083299999999994</v>
      </c>
      <c r="H1076" s="1">
        <v>6.4261999999999997</v>
      </c>
      <c r="I1076" s="1">
        <v>34.511499999999998</v>
      </c>
      <c r="J1076" s="1">
        <f t="shared" si="114"/>
        <v>29.555988399999997</v>
      </c>
      <c r="K1076" s="1">
        <v>6.8724899999999991</v>
      </c>
      <c r="L1076" s="1">
        <f t="shared" si="115"/>
        <v>113.80371213483146</v>
      </c>
      <c r="M1076" s="1">
        <v>-225.37284</v>
      </c>
      <c r="N1076" s="1">
        <v>-29.438230000000001</v>
      </c>
    </row>
    <row r="1077" spans="1:14" x14ac:dyDescent="0.4">
      <c r="B1077" s="1">
        <v>54.399999999999899</v>
      </c>
      <c r="C1077" s="1" t="s">
        <v>1088</v>
      </c>
      <c r="D1077" s="3">
        <f t="shared" ref="D1077:D1091" si="120">-1.25*B1077+1986.9375</f>
        <v>1918.9375000000002</v>
      </c>
      <c r="E1077" s="1">
        <v>154.44810000000001</v>
      </c>
      <c r="F1077" s="1">
        <v>20.6477</v>
      </c>
      <c r="G1077" s="1">
        <v>42.127299999999998</v>
      </c>
      <c r="H1077" s="1">
        <v>6.8578999999999999</v>
      </c>
      <c r="I1077" s="1">
        <v>69.7624</v>
      </c>
      <c r="J1077" s="1">
        <f t="shared" si="114"/>
        <v>63.893372200000002</v>
      </c>
      <c r="K1077" s="1">
        <v>8.4171399999999892</v>
      </c>
      <c r="L1077" s="1">
        <f t="shared" si="115"/>
        <v>118.5529470786517</v>
      </c>
      <c r="M1077" s="1">
        <v>-235.50483</v>
      </c>
      <c r="N1077" s="1">
        <v>-30.381129999999999</v>
      </c>
    </row>
    <row r="1078" spans="1:14" x14ac:dyDescent="0.4">
      <c r="B1078" s="1">
        <v>54.449999999999903</v>
      </c>
      <c r="C1078" s="1" t="s">
        <v>1089</v>
      </c>
      <c r="D1078" s="3">
        <f t="shared" si="120"/>
        <v>1918.875</v>
      </c>
      <c r="E1078" s="1">
        <v>20.350999999999999</v>
      </c>
      <c r="F1078" s="1">
        <v>22.796199999999999</v>
      </c>
      <c r="G1078" s="1">
        <v>9.9278999999999993</v>
      </c>
      <c r="H1078" s="1">
        <v>3.1814</v>
      </c>
      <c r="I1078" s="1">
        <v>25.0076</v>
      </c>
      <c r="J1078" s="1">
        <f t="shared" si="114"/>
        <v>24.234262000000001</v>
      </c>
      <c r="K1078" s="1">
        <v>10.219509999999985</v>
      </c>
      <c r="L1078" s="1">
        <f t="shared" si="115"/>
        <v>6.7362460674157294</v>
      </c>
      <c r="M1078" s="1">
        <v>-239.54275999999999</v>
      </c>
      <c r="N1078" s="1">
        <v>-30.657319999999999</v>
      </c>
    </row>
    <row r="1079" spans="1:14" x14ac:dyDescent="0.4">
      <c r="B1079" s="1">
        <v>54.499999999999901</v>
      </c>
      <c r="C1079" s="1" t="s">
        <v>1090</v>
      </c>
      <c r="D1079" s="3">
        <f t="shared" si="120"/>
        <v>1918.8125000000002</v>
      </c>
      <c r="E1079" s="1">
        <v>73.967399999999998</v>
      </c>
      <c r="F1079" s="1">
        <v>16.575800000000001</v>
      </c>
      <c r="G1079" s="1">
        <v>4.577</v>
      </c>
      <c r="H1079" s="1">
        <v>15.2608</v>
      </c>
      <c r="I1079" s="1">
        <v>53.856499999999997</v>
      </c>
      <c r="J1079" s="1">
        <f t="shared" si="114"/>
        <v>51.045738799999995</v>
      </c>
      <c r="K1079" s="1">
        <v>10.13300000000001</v>
      </c>
      <c r="L1079" s="1">
        <f t="shared" si="115"/>
        <v>45.290018651685394</v>
      </c>
      <c r="M1079" s="1">
        <v>-244.56199000000001</v>
      </c>
      <c r="N1079" s="1">
        <v>-31.320910000000001</v>
      </c>
    </row>
    <row r="1080" spans="1:14" x14ac:dyDescent="0.4">
      <c r="B1080" s="1">
        <v>54.549999999999898</v>
      </c>
      <c r="C1080" s="1" t="s">
        <v>1091</v>
      </c>
      <c r="D1080" s="3">
        <f t="shared" si="120"/>
        <v>1918.7500000000002</v>
      </c>
      <c r="E1080" s="1">
        <v>205.851</v>
      </c>
      <c r="F1080" s="1">
        <v>26.329000000000001</v>
      </c>
      <c r="G1080" s="1">
        <v>21.036300000000001</v>
      </c>
      <c r="H1080" s="1">
        <v>24.196200000000001</v>
      </c>
      <c r="I1080" s="1">
        <v>47.135599999999997</v>
      </c>
      <c r="J1080" s="1">
        <f t="shared" si="114"/>
        <v>39.313261999999995</v>
      </c>
      <c r="K1080" s="1">
        <v>7.5442099999999925</v>
      </c>
      <c r="L1080" s="1">
        <f t="shared" si="115"/>
        <v>183.76489775280899</v>
      </c>
      <c r="M1080" s="1">
        <v>-244.25700000000001</v>
      </c>
      <c r="N1080" s="1">
        <v>-31.251809999999999</v>
      </c>
    </row>
    <row r="1081" spans="1:14" x14ac:dyDescent="0.4">
      <c r="B1081" s="1">
        <v>54.599999999999902</v>
      </c>
      <c r="C1081" s="1" t="s">
        <v>1092</v>
      </c>
      <c r="D1081" s="3">
        <f t="shared" si="120"/>
        <v>1918.6875000000002</v>
      </c>
      <c r="E1081" s="1">
        <v>77.861699999999999</v>
      </c>
      <c r="F1081" s="1">
        <v>20.802099999999999</v>
      </c>
      <c r="G1081" s="1">
        <v>4.3788999999999998</v>
      </c>
      <c r="H1081" s="1">
        <v>24.498200000000001</v>
      </c>
      <c r="I1081" s="1">
        <v>59.619300000000003</v>
      </c>
      <c r="J1081" s="1">
        <f t="shared" si="114"/>
        <v>56.6605554</v>
      </c>
      <c r="K1081" s="1">
        <v>5.7158000000000015</v>
      </c>
      <c r="L1081" s="1">
        <f t="shared" si="115"/>
        <v>46.029927303370783</v>
      </c>
      <c r="M1081" s="1">
        <v>-235.72013000000001</v>
      </c>
      <c r="N1081" s="1">
        <v>-30.257570000000001</v>
      </c>
    </row>
    <row r="1082" spans="1:14" x14ac:dyDescent="0.4">
      <c r="B1082" s="1">
        <v>54.649999999999899</v>
      </c>
      <c r="C1082" s="1" t="s">
        <v>1093</v>
      </c>
      <c r="D1082" s="3">
        <f t="shared" si="120"/>
        <v>1918.6250000000002</v>
      </c>
      <c r="E1082" s="1">
        <v>61.6494</v>
      </c>
      <c r="F1082" s="1">
        <v>26.0352</v>
      </c>
      <c r="G1082" s="1">
        <v>6.5696000000000003</v>
      </c>
      <c r="H1082" s="1">
        <v>10.228300000000001</v>
      </c>
      <c r="I1082" s="1">
        <v>14.9597</v>
      </c>
      <c r="J1082" s="1">
        <f t="shared" si="114"/>
        <v>12.617022800000001</v>
      </c>
      <c r="K1082" s="1">
        <v>6.0052900000000022</v>
      </c>
      <c r="L1082" s="1">
        <f t="shared" si="115"/>
        <v>54.561184943820223</v>
      </c>
      <c r="M1082" s="1">
        <v>-224.72714999999999</v>
      </c>
      <c r="N1082" s="1">
        <v>-28.844049999999999</v>
      </c>
    </row>
    <row r="1083" spans="1:14" x14ac:dyDescent="0.4">
      <c r="B1083" s="1">
        <v>54.699999999999903</v>
      </c>
      <c r="C1083" s="1" t="s">
        <v>1094</v>
      </c>
      <c r="D1083" s="3">
        <f t="shared" si="120"/>
        <v>1918.5625</v>
      </c>
      <c r="E1083" s="1">
        <v>96.863699999999994</v>
      </c>
      <c r="F1083" s="1">
        <v>14.452999999999999</v>
      </c>
      <c r="G1083" s="1">
        <v>3.4527000000000001</v>
      </c>
      <c r="H1083" s="1">
        <v>9.9704999999999995</v>
      </c>
      <c r="I1083" s="1">
        <v>59.985500000000002</v>
      </c>
      <c r="J1083" s="1">
        <f t="shared" si="114"/>
        <v>56.304679400000005</v>
      </c>
      <c r="K1083" s="1">
        <v>5.7574799999999868</v>
      </c>
      <c r="L1083" s="1">
        <f t="shared" si="115"/>
        <v>65.231857640449434</v>
      </c>
      <c r="M1083" s="1">
        <v>-211.38882000000001</v>
      </c>
      <c r="N1083" s="1">
        <v>-27.43712</v>
      </c>
    </row>
    <row r="1084" spans="1:14" x14ac:dyDescent="0.4">
      <c r="B1084" s="1">
        <v>54.749999999999901</v>
      </c>
      <c r="C1084" s="1" t="s">
        <v>1095</v>
      </c>
      <c r="D1084" s="3">
        <f t="shared" si="120"/>
        <v>1918.5000000000002</v>
      </c>
      <c r="E1084" s="1">
        <v>51.304099999999998</v>
      </c>
      <c r="F1084" s="1">
        <v>8.2240000000000002</v>
      </c>
      <c r="G1084" s="1">
        <v>7.9261999999999997</v>
      </c>
      <c r="H1084" s="1">
        <v>9.5861000000000001</v>
      </c>
      <c r="I1084" s="1">
        <v>30.173999999999999</v>
      </c>
      <c r="J1084" s="1">
        <f t="shared" si="114"/>
        <v>28.224444200000001</v>
      </c>
      <c r="K1084" s="1">
        <v>6.3404299999999978</v>
      </c>
      <c r="L1084" s="1">
        <f t="shared" si="115"/>
        <v>35.447670674157301</v>
      </c>
      <c r="M1084" s="1">
        <v>-208.06121999999999</v>
      </c>
      <c r="N1084" s="1">
        <v>-26.941490000000002</v>
      </c>
    </row>
    <row r="1085" spans="1:14" x14ac:dyDescent="0.4">
      <c r="B1085" s="1">
        <v>54.8</v>
      </c>
      <c r="C1085" s="1" t="s">
        <v>1096</v>
      </c>
      <c r="D1085" s="3">
        <f t="shared" si="120"/>
        <v>1918.4375</v>
      </c>
      <c r="E1085" s="1">
        <v>57.953699999999998</v>
      </c>
      <c r="F1085" s="1">
        <v>10.607900000000001</v>
      </c>
      <c r="G1085" s="1">
        <v>4.9421999999999997</v>
      </c>
      <c r="H1085" s="1">
        <v>12.1099</v>
      </c>
      <c r="I1085" s="1">
        <v>48.098199999999999</v>
      </c>
      <c r="J1085" s="1">
        <f t="shared" si="114"/>
        <v>45.895959399999995</v>
      </c>
      <c r="K1085" s="1">
        <v>6.0252499999999998</v>
      </c>
      <c r="L1085" s="1">
        <f t="shared" si="115"/>
        <v>32.169453146067411</v>
      </c>
      <c r="M1085" s="1">
        <v>-237.06832</v>
      </c>
      <c r="N1085" s="1">
        <v>-30.61185</v>
      </c>
    </row>
    <row r="1086" spans="1:14" x14ac:dyDescent="0.4">
      <c r="B1086" s="1">
        <v>54.85</v>
      </c>
      <c r="C1086" s="1" t="s">
        <v>1097</v>
      </c>
      <c r="D1086" s="3">
        <f t="shared" si="120"/>
        <v>1918.375</v>
      </c>
      <c r="E1086" s="1">
        <v>14.212199999999999</v>
      </c>
      <c r="F1086" s="1">
        <v>1.704</v>
      </c>
      <c r="G1086" s="1">
        <v>2.5960000000000001</v>
      </c>
      <c r="H1086" s="1">
        <v>4.0904999999999996</v>
      </c>
      <c r="I1086" s="1">
        <v>32.106200000000001</v>
      </c>
      <c r="J1086" s="1">
        <f t="shared" si="114"/>
        <v>31.566136400000001</v>
      </c>
      <c r="K1086" s="1">
        <v>8.1081399999999917</v>
      </c>
      <c r="L1086" s="1">
        <f t="shared" si="115"/>
        <v>-3.5215844943820223</v>
      </c>
      <c r="M1086" s="1">
        <v>-227.46324999999999</v>
      </c>
      <c r="N1086" s="1">
        <v>-29.382020000000001</v>
      </c>
    </row>
    <row r="1087" spans="1:14" x14ac:dyDescent="0.4">
      <c r="B1087" s="1">
        <v>54.9</v>
      </c>
      <c r="C1087" s="1" t="s">
        <v>1098</v>
      </c>
      <c r="D1087" s="3">
        <f t="shared" si="120"/>
        <v>1918.3125</v>
      </c>
      <c r="E1087" s="1">
        <v>37.736499999999999</v>
      </c>
      <c r="F1087" s="1">
        <v>30.791</v>
      </c>
      <c r="G1087" s="1">
        <v>11.158200000000001</v>
      </c>
      <c r="H1087" s="1">
        <v>7.4675000000000002</v>
      </c>
      <c r="I1087" s="1">
        <v>112.1915</v>
      </c>
      <c r="J1087" s="1">
        <f t="shared" si="114"/>
        <v>110.757513</v>
      </c>
      <c r="K1087" s="1">
        <v>7.4707000000000221</v>
      </c>
      <c r="L1087" s="1">
        <f t="shared" si="115"/>
        <v>-24.486821910112361</v>
      </c>
      <c r="M1087" s="1">
        <v>-212.19844000000001</v>
      </c>
      <c r="N1087" s="1">
        <v>-27.678000000000001</v>
      </c>
    </row>
    <row r="1088" spans="1:14" x14ac:dyDescent="0.4">
      <c r="B1088" s="1">
        <v>54.95</v>
      </c>
      <c r="C1088" s="1" t="s">
        <v>1099</v>
      </c>
      <c r="D1088" s="3">
        <f t="shared" si="120"/>
        <v>1918.25</v>
      </c>
      <c r="E1088" s="1">
        <v>14.267899999999999</v>
      </c>
      <c r="F1088" s="1">
        <v>26.554600000000001</v>
      </c>
      <c r="G1088" s="1">
        <v>6.1386000000000003</v>
      </c>
      <c r="H1088" s="1">
        <v>3.1709000000000001</v>
      </c>
      <c r="I1088" s="1">
        <v>36.517299999999999</v>
      </c>
      <c r="J1088" s="1">
        <f t="shared" si="114"/>
        <v>35.975119800000002</v>
      </c>
      <c r="K1088" s="1">
        <v>7.8264800000000037</v>
      </c>
      <c r="L1088" s="1">
        <f t="shared" si="115"/>
        <v>-5.942841460674158</v>
      </c>
      <c r="M1088" s="1">
        <v>-239.72018</v>
      </c>
      <c r="N1088" s="1">
        <v>-30.988050000000001</v>
      </c>
    </row>
    <row r="1089" spans="1:14" x14ac:dyDescent="0.4">
      <c r="B1089" s="1">
        <v>55</v>
      </c>
      <c r="C1089" s="1" t="s">
        <v>1100</v>
      </c>
      <c r="D1089" s="3">
        <f t="shared" si="120"/>
        <v>1918.1875</v>
      </c>
      <c r="E1089" s="1">
        <v>47.031300000000002</v>
      </c>
      <c r="F1089" s="1">
        <v>9.8576999999999995</v>
      </c>
      <c r="G1089" s="1">
        <v>3.7494000000000001</v>
      </c>
      <c r="H1089" s="1">
        <v>7.8057999999999996</v>
      </c>
      <c r="I1089" s="1">
        <v>109.57340000000001</v>
      </c>
      <c r="J1089" s="1">
        <f t="shared" si="114"/>
        <v>107.7862106</v>
      </c>
      <c r="K1089" s="1">
        <v>7.5929100000000176</v>
      </c>
      <c r="L1089" s="1">
        <f t="shared" si="115"/>
        <v>-13.522750898876403</v>
      </c>
      <c r="M1089" s="1">
        <v>-245.9556</v>
      </c>
      <c r="N1089" s="1">
        <v>-31.88645</v>
      </c>
    </row>
    <row r="1090" spans="1:14" x14ac:dyDescent="0.4">
      <c r="B1090" s="1">
        <v>55.05</v>
      </c>
      <c r="C1090" s="1" t="s">
        <v>1101</v>
      </c>
      <c r="D1090" s="3">
        <f t="shared" si="120"/>
        <v>1918.125</v>
      </c>
      <c r="E1090" s="1">
        <v>125.67319999999999</v>
      </c>
      <c r="F1090" s="1">
        <v>18.0884</v>
      </c>
      <c r="G1090" s="1">
        <v>11.3743</v>
      </c>
      <c r="H1090" s="1">
        <v>13.7539</v>
      </c>
      <c r="I1090" s="1">
        <v>46.281399999999998</v>
      </c>
      <c r="J1090" s="1">
        <f t="shared" si="114"/>
        <v>41.505818399999995</v>
      </c>
      <c r="K1090" s="1">
        <v>9.2255600000000015</v>
      </c>
      <c r="L1090" s="1">
        <f t="shared" si="115"/>
        <v>102.35532449438202</v>
      </c>
      <c r="M1090" s="1">
        <v>-245.47416999999999</v>
      </c>
      <c r="N1090" s="1">
        <v>-31.757280000000002</v>
      </c>
    </row>
    <row r="1091" spans="1:14" x14ac:dyDescent="0.4">
      <c r="B1091" s="1">
        <v>55.1</v>
      </c>
      <c r="C1091" s="1" t="s">
        <v>1102</v>
      </c>
      <c r="D1091" s="3">
        <f t="shared" si="120"/>
        <v>1918.0625</v>
      </c>
      <c r="E1091" s="1">
        <v>57.037399999999998</v>
      </c>
      <c r="F1091" s="1">
        <v>22.267099999999999</v>
      </c>
      <c r="G1091" s="1">
        <v>4.0140000000000002</v>
      </c>
      <c r="H1091" s="1">
        <v>10.174300000000001</v>
      </c>
      <c r="I1091" s="1">
        <v>51.455800000000004</v>
      </c>
      <c r="J1091" s="1">
        <f t="shared" ref="J1091:J1154" si="121">I1091-0.038*E1091</f>
        <v>49.288378800000004</v>
      </c>
      <c r="K1091" s="1">
        <v>8.1842200000000105</v>
      </c>
      <c r="L1091" s="1">
        <f t="shared" ref="L1091:L1154" si="122">E1091-(J1091/1.78)</f>
        <v>29.347299550561793</v>
      </c>
      <c r="M1091" s="1">
        <v>-245.31028000000001</v>
      </c>
      <c r="N1091" s="1">
        <v>-31.849209999999999</v>
      </c>
    </row>
    <row r="1092" spans="1:14" x14ac:dyDescent="0.4">
      <c r="A1092" s="1">
        <v>1918</v>
      </c>
      <c r="B1092" s="1">
        <v>55.15</v>
      </c>
      <c r="C1092" s="1" t="s">
        <v>1103</v>
      </c>
      <c r="D1092" s="3">
        <f>-1.333333*B1092+1991.53333</f>
        <v>1918.00001505</v>
      </c>
      <c r="E1092" s="1">
        <v>26.8263</v>
      </c>
      <c r="F1092" s="1">
        <v>20.058599999999998</v>
      </c>
      <c r="G1092" s="1">
        <v>2.7974999999999999</v>
      </c>
      <c r="H1092" s="1">
        <v>5.0738000000000003</v>
      </c>
      <c r="I1092" s="1">
        <v>15.2851</v>
      </c>
      <c r="J1092" s="1">
        <f t="shared" si="121"/>
        <v>14.265700600000001</v>
      </c>
      <c r="K1092" s="1">
        <v>9.1359999999999957</v>
      </c>
      <c r="L1092" s="1">
        <f t="shared" si="122"/>
        <v>18.811861460674159</v>
      </c>
      <c r="M1092" s="1">
        <v>-244.7954</v>
      </c>
      <c r="N1092" s="1">
        <v>-31.16235</v>
      </c>
    </row>
    <row r="1093" spans="1:14" x14ac:dyDescent="0.4">
      <c r="B1093" s="1">
        <v>55.2</v>
      </c>
      <c r="C1093" s="1" t="s">
        <v>1104</v>
      </c>
      <c r="D1093" s="3">
        <f t="shared" ref="D1093:D1106" si="123">-1.333333*B1093+1991.53333</f>
        <v>1917.9333483999999</v>
      </c>
      <c r="E1093" s="1">
        <v>41.4148</v>
      </c>
      <c r="F1093" s="1">
        <v>8.7085000000000008</v>
      </c>
      <c r="G1093" s="1">
        <v>1.4699</v>
      </c>
      <c r="H1093" s="1">
        <v>8.4125999999999994</v>
      </c>
      <c r="I1093" s="1">
        <v>40.184100000000001</v>
      </c>
      <c r="J1093" s="1">
        <f t="shared" si="121"/>
        <v>38.610337600000001</v>
      </c>
      <c r="K1093" s="1">
        <v>8.5840700000000254</v>
      </c>
      <c r="L1093" s="1">
        <f t="shared" si="122"/>
        <v>19.723599101123593</v>
      </c>
      <c r="M1093" s="1">
        <v>-244.45919000000001</v>
      </c>
      <c r="N1093" s="1">
        <v>-31.372969999999999</v>
      </c>
    </row>
    <row r="1094" spans="1:14" x14ac:dyDescent="0.4">
      <c r="B1094" s="1">
        <v>55.25</v>
      </c>
      <c r="C1094" s="1" t="s">
        <v>1105</v>
      </c>
      <c r="D1094" s="3">
        <f t="shared" si="123"/>
        <v>1917.86668175</v>
      </c>
      <c r="E1094" s="1">
        <v>151.17230000000001</v>
      </c>
      <c r="F1094" s="1">
        <v>46.179600000000001</v>
      </c>
      <c r="G1094" s="1">
        <v>112.38290000000001</v>
      </c>
      <c r="H1094" s="1">
        <v>13.0304</v>
      </c>
      <c r="I1094" s="1">
        <v>50.749400000000001</v>
      </c>
      <c r="J1094" s="1">
        <f t="shared" si="121"/>
        <v>45.0048526</v>
      </c>
      <c r="K1094" s="1">
        <v>9.4833999999999889</v>
      </c>
      <c r="L1094" s="1">
        <f t="shared" si="122"/>
        <v>125.88867494382023</v>
      </c>
      <c r="M1094" s="1">
        <v>-242.23176000000001</v>
      </c>
      <c r="N1094" s="1">
        <v>-31.610279999999999</v>
      </c>
    </row>
    <row r="1095" spans="1:14" x14ac:dyDescent="0.4">
      <c r="B1095" s="1">
        <v>55.3</v>
      </c>
      <c r="C1095" s="1" t="s">
        <v>1106</v>
      </c>
      <c r="D1095" s="3">
        <f t="shared" si="123"/>
        <v>1917.8000150999999</v>
      </c>
      <c r="E1095" s="1">
        <v>113.7077</v>
      </c>
      <c r="F1095" s="1">
        <v>33.492800000000003</v>
      </c>
      <c r="G1095" s="1">
        <v>21.03</v>
      </c>
      <c r="H1095" s="1">
        <v>19.416899999999998</v>
      </c>
      <c r="I1095" s="1">
        <v>166.92269999999999</v>
      </c>
      <c r="J1095" s="1">
        <f t="shared" si="121"/>
        <v>162.60180739999998</v>
      </c>
      <c r="K1095" s="1">
        <v>4.5033999999999992</v>
      </c>
      <c r="L1095" s="1">
        <f t="shared" si="122"/>
        <v>22.358370000000008</v>
      </c>
      <c r="M1095" s="1">
        <v>-237.37720999999999</v>
      </c>
      <c r="N1095" s="1">
        <v>-31.110299999999999</v>
      </c>
    </row>
    <row r="1096" spans="1:14" x14ac:dyDescent="0.4">
      <c r="B1096" s="1">
        <v>55.35</v>
      </c>
      <c r="C1096" s="1" t="s">
        <v>1107</v>
      </c>
      <c r="D1096" s="3">
        <f t="shared" si="123"/>
        <v>1917.73334845</v>
      </c>
      <c r="E1096" s="1">
        <v>34.231999999999999</v>
      </c>
      <c r="F1096" s="1">
        <v>11.904999999999999</v>
      </c>
      <c r="G1096" s="1">
        <v>9.3649000000000004</v>
      </c>
      <c r="H1096" s="1">
        <v>0</v>
      </c>
      <c r="I1096" s="1">
        <v>37.3538</v>
      </c>
      <c r="J1096" s="1">
        <f t="shared" si="121"/>
        <v>36.052984000000002</v>
      </c>
      <c r="K1096" s="1">
        <v>6.5245699999999829</v>
      </c>
      <c r="L1096" s="1">
        <f t="shared" si="122"/>
        <v>13.977514606741572</v>
      </c>
      <c r="M1096" s="1">
        <v>-238.13302999999999</v>
      </c>
      <c r="N1096" s="1">
        <v>-30.830410000000001</v>
      </c>
    </row>
    <row r="1097" spans="1:14" x14ac:dyDescent="0.4">
      <c r="B1097" s="1">
        <v>55.4</v>
      </c>
      <c r="C1097" s="1" t="s">
        <v>1108</v>
      </c>
      <c r="D1097" s="3">
        <f t="shared" si="123"/>
        <v>1917.6666817999999</v>
      </c>
      <c r="E1097" s="1">
        <v>20.923300000000001</v>
      </c>
      <c r="F1097" s="1">
        <v>33.9084</v>
      </c>
      <c r="G1097" s="1">
        <v>3.5327000000000002</v>
      </c>
      <c r="H1097" s="1">
        <v>7.4734999999999996</v>
      </c>
      <c r="I1097" s="1">
        <v>78.891000000000005</v>
      </c>
      <c r="J1097" s="1">
        <f t="shared" si="121"/>
        <v>78.0959146</v>
      </c>
      <c r="K1097" s="1">
        <v>10.650479999999988</v>
      </c>
      <c r="L1097" s="1">
        <f t="shared" si="122"/>
        <v>-22.950809325842695</v>
      </c>
      <c r="M1097" s="1">
        <v>-235.56191000000001</v>
      </c>
      <c r="N1097" s="1">
        <v>-30.599350000000001</v>
      </c>
    </row>
    <row r="1098" spans="1:14" x14ac:dyDescent="0.4">
      <c r="B1098" s="1">
        <v>55.45</v>
      </c>
      <c r="C1098" s="1" t="s">
        <v>1109</v>
      </c>
      <c r="D1098" s="3">
        <f t="shared" si="123"/>
        <v>1917.60001515</v>
      </c>
      <c r="E1098" s="1">
        <v>61.908200000000001</v>
      </c>
      <c r="F1098" s="1">
        <v>22.503900000000002</v>
      </c>
      <c r="G1098" s="1">
        <v>6.0528000000000004</v>
      </c>
      <c r="H1098" s="1">
        <v>8.9122000000000003</v>
      </c>
      <c r="I1098" s="1">
        <v>28.418399999999998</v>
      </c>
      <c r="J1098" s="1">
        <f t="shared" si="121"/>
        <v>26.065888399999999</v>
      </c>
      <c r="K1098" s="1">
        <v>11.505189999999999</v>
      </c>
      <c r="L1098" s="1">
        <f t="shared" si="122"/>
        <v>47.264442471910115</v>
      </c>
      <c r="M1098" s="1">
        <v>-235.43939</v>
      </c>
      <c r="N1098" s="1">
        <v>-30.708010000000002</v>
      </c>
    </row>
    <row r="1099" spans="1:14" x14ac:dyDescent="0.4">
      <c r="B1099" s="1">
        <v>55.5</v>
      </c>
      <c r="C1099" s="1" t="s">
        <v>1110</v>
      </c>
      <c r="D1099" s="3">
        <f t="shared" si="123"/>
        <v>1917.5333484999999</v>
      </c>
      <c r="E1099" s="1">
        <v>164.0325</v>
      </c>
      <c r="F1099" s="1">
        <v>61.470100000000002</v>
      </c>
      <c r="G1099" s="1">
        <v>24.2925</v>
      </c>
      <c r="H1099" s="1">
        <v>38.7776</v>
      </c>
      <c r="I1099" s="1">
        <v>151.37540000000001</v>
      </c>
      <c r="J1099" s="1">
        <f t="shared" si="121"/>
        <v>145.14216500000001</v>
      </c>
      <c r="K1099" s="1">
        <v>8.5102500000000134</v>
      </c>
      <c r="L1099" s="1">
        <f t="shared" si="122"/>
        <v>82.49195786516853</v>
      </c>
      <c r="M1099" s="1">
        <v>-231.69175999999999</v>
      </c>
      <c r="N1099" s="1">
        <v>-30.075500000000002</v>
      </c>
    </row>
    <row r="1100" spans="1:14" x14ac:dyDescent="0.4">
      <c r="B1100" s="1">
        <v>55.55</v>
      </c>
      <c r="C1100" s="1" t="s">
        <v>1111</v>
      </c>
      <c r="D1100" s="3">
        <f t="shared" si="123"/>
        <v>1917.46668185</v>
      </c>
      <c r="E1100" s="1">
        <v>14.674799999999999</v>
      </c>
      <c r="F1100" s="1">
        <v>17.676600000000001</v>
      </c>
      <c r="G1100" s="1">
        <v>4.8167999999999997</v>
      </c>
      <c r="H1100" s="1">
        <v>2.8054999999999999</v>
      </c>
      <c r="I1100" s="1">
        <v>18.791399999999999</v>
      </c>
      <c r="J1100" s="1">
        <f t="shared" si="121"/>
        <v>18.233757600000001</v>
      </c>
      <c r="K1100" s="1">
        <v>9.2328899999999976</v>
      </c>
      <c r="L1100" s="1">
        <f t="shared" si="122"/>
        <v>4.4311159550561783</v>
      </c>
      <c r="M1100" s="1">
        <v>-225.1369</v>
      </c>
      <c r="N1100" s="1">
        <v>-29.27647</v>
      </c>
    </row>
    <row r="1101" spans="1:14" x14ac:dyDescent="0.4">
      <c r="B1101" s="1">
        <v>55.6</v>
      </c>
      <c r="C1101" s="1" t="s">
        <v>1112</v>
      </c>
      <c r="D1101" s="3">
        <f t="shared" si="123"/>
        <v>1917.4000151999999</v>
      </c>
      <c r="E1101" s="1">
        <v>41.100900000000003</v>
      </c>
      <c r="F1101" s="1">
        <v>32.1753</v>
      </c>
      <c r="G1101" s="1">
        <v>3.2299000000000002</v>
      </c>
      <c r="H1101" s="1">
        <v>13.313700000000001</v>
      </c>
      <c r="I1101" s="1">
        <v>197.72900000000001</v>
      </c>
      <c r="J1101" s="1">
        <f t="shared" si="121"/>
        <v>196.16716580000002</v>
      </c>
      <c r="K1101" s="1">
        <v>10.22469000000001</v>
      </c>
      <c r="L1101" s="1">
        <f t="shared" si="122"/>
        <v>-69.105372921348334</v>
      </c>
      <c r="M1101" s="1">
        <v>-232.36008000000001</v>
      </c>
      <c r="N1101" s="1">
        <v>-29.909310000000001</v>
      </c>
    </row>
    <row r="1102" spans="1:14" x14ac:dyDescent="0.4">
      <c r="B1102" s="1">
        <v>55.65</v>
      </c>
      <c r="C1102" s="1" t="s">
        <v>1113</v>
      </c>
      <c r="D1102" s="3">
        <f t="shared" si="123"/>
        <v>1917.33334855</v>
      </c>
      <c r="E1102" s="1">
        <v>38.854300000000002</v>
      </c>
      <c r="F1102" s="1">
        <v>33.1614</v>
      </c>
      <c r="G1102" s="1">
        <v>8.8079000000000001</v>
      </c>
      <c r="H1102" s="1">
        <v>4.7415000000000003</v>
      </c>
      <c r="I1102" s="1">
        <v>48.868000000000002</v>
      </c>
      <c r="J1102" s="1">
        <f t="shared" si="121"/>
        <v>47.391536600000002</v>
      </c>
      <c r="K1102" s="1">
        <v>8.9122400000000255</v>
      </c>
      <c r="L1102" s="1">
        <f t="shared" si="122"/>
        <v>12.229841235955057</v>
      </c>
      <c r="M1102" s="1">
        <v>-231.55184</v>
      </c>
      <c r="N1102" s="1">
        <v>-29.80997</v>
      </c>
    </row>
    <row r="1103" spans="1:14" x14ac:dyDescent="0.4">
      <c r="B1103" s="1">
        <v>55.7</v>
      </c>
      <c r="C1103" s="1" t="s">
        <v>1114</v>
      </c>
      <c r="D1103" s="3">
        <f t="shared" si="123"/>
        <v>1917.2666818999999</v>
      </c>
      <c r="E1103" s="1">
        <v>35.103200000000001</v>
      </c>
      <c r="F1103" s="1">
        <v>6.9554</v>
      </c>
      <c r="G1103" s="1">
        <v>2.3925000000000001</v>
      </c>
      <c r="H1103" s="1">
        <v>20.590199999999999</v>
      </c>
      <c r="I1103" s="1">
        <v>302.85919999999999</v>
      </c>
      <c r="J1103" s="1">
        <f t="shared" si="121"/>
        <v>301.52527839999999</v>
      </c>
      <c r="K1103" s="1">
        <v>9.074860000000001</v>
      </c>
      <c r="L1103" s="1">
        <f t="shared" si="122"/>
        <v>-134.29302382022473</v>
      </c>
      <c r="M1103" s="1">
        <v>-237.4836</v>
      </c>
      <c r="N1103" s="1">
        <v>-30.415089999999999</v>
      </c>
    </row>
    <row r="1104" spans="1:14" x14ac:dyDescent="0.4">
      <c r="B1104" s="1">
        <v>55.75</v>
      </c>
      <c r="C1104" s="1" t="s">
        <v>1115</v>
      </c>
      <c r="D1104" s="3">
        <f t="shared" si="123"/>
        <v>1917.20001525</v>
      </c>
      <c r="E1104" s="1">
        <v>30.718499999999999</v>
      </c>
      <c r="F1104" s="1">
        <v>2.7269000000000001</v>
      </c>
      <c r="G1104" s="1">
        <v>3.3519999999999999</v>
      </c>
      <c r="H1104" s="1">
        <v>1.8476999999999999</v>
      </c>
      <c r="I1104" s="1">
        <v>20.5473</v>
      </c>
      <c r="J1104" s="1">
        <f t="shared" si="121"/>
        <v>19.379996999999999</v>
      </c>
      <c r="K1104" s="1">
        <v>6.9144000000000005</v>
      </c>
      <c r="L1104" s="1">
        <f t="shared" si="122"/>
        <v>19.830861235955055</v>
      </c>
      <c r="M1104" s="1">
        <v>-237.86505</v>
      </c>
      <c r="N1104" s="1">
        <v>-30.526029999999999</v>
      </c>
    </row>
    <row r="1105" spans="1:14" x14ac:dyDescent="0.4">
      <c r="B1105" s="1">
        <v>55.8</v>
      </c>
      <c r="C1105" s="1" t="s">
        <v>1116</v>
      </c>
      <c r="D1105" s="3">
        <f t="shared" si="123"/>
        <v>1917.1333485999999</v>
      </c>
      <c r="E1105" s="1">
        <v>95.922700000000006</v>
      </c>
      <c r="F1105" s="1">
        <v>25.2501</v>
      </c>
      <c r="G1105" s="1">
        <v>4.0494000000000003</v>
      </c>
      <c r="H1105" s="1">
        <v>20.9819</v>
      </c>
      <c r="I1105" s="1">
        <v>70.929100000000005</v>
      </c>
      <c r="J1105" s="1">
        <f t="shared" si="121"/>
        <v>67.284037400000003</v>
      </c>
      <c r="K1105" s="1">
        <v>6.9279200000000003</v>
      </c>
      <c r="L1105" s="1">
        <f t="shared" si="122"/>
        <v>58.122678988764051</v>
      </c>
      <c r="M1105" s="1">
        <v>-230.62898999999999</v>
      </c>
      <c r="N1105" s="1">
        <v>-30.065750000000001</v>
      </c>
    </row>
    <row r="1106" spans="1:14" x14ac:dyDescent="0.4">
      <c r="B1106" s="1">
        <v>55.85</v>
      </c>
      <c r="C1106" s="1" t="s">
        <v>1117</v>
      </c>
      <c r="D1106" s="3">
        <f t="shared" si="123"/>
        <v>1917.06668195</v>
      </c>
      <c r="E1106" s="1">
        <v>84.203900000000004</v>
      </c>
      <c r="F1106" s="1">
        <v>19.220400000000001</v>
      </c>
      <c r="G1106" s="1">
        <v>5.9992000000000001</v>
      </c>
      <c r="H1106" s="1">
        <v>9.4585000000000008</v>
      </c>
      <c r="I1106" s="1">
        <v>107.57380000000001</v>
      </c>
      <c r="J1106" s="1">
        <f t="shared" si="121"/>
        <v>104.3740518</v>
      </c>
      <c r="K1106" s="1">
        <v>5.8371199999999988</v>
      </c>
      <c r="L1106" s="1">
        <f t="shared" si="122"/>
        <v>25.566792247191017</v>
      </c>
      <c r="M1106" s="1">
        <v>-227.66739999999999</v>
      </c>
      <c r="N1106" s="1">
        <v>-29.8781</v>
      </c>
    </row>
    <row r="1107" spans="1:14" x14ac:dyDescent="0.4">
      <c r="A1107" s="1">
        <v>1917</v>
      </c>
      <c r="B1107" s="1">
        <v>55.899999999999899</v>
      </c>
      <c r="C1107" s="1" t="s">
        <v>1118</v>
      </c>
      <c r="D1107" s="3">
        <f>-0.833333*B1107+1963.583333</f>
        <v>1917.0000183000002</v>
      </c>
      <c r="E1107" s="1">
        <v>60.5334</v>
      </c>
      <c r="F1107" s="1">
        <v>13.7525</v>
      </c>
      <c r="G1107" s="1">
        <v>3.6640999999999999</v>
      </c>
      <c r="H1107" s="1">
        <v>9.7117000000000004</v>
      </c>
      <c r="I1107" s="1">
        <v>58.558599999999998</v>
      </c>
      <c r="J1107" s="1">
        <f t="shared" si="121"/>
        <v>56.258330799999996</v>
      </c>
      <c r="K1107" s="1">
        <v>6.3431899999999928</v>
      </c>
      <c r="L1107" s="1">
        <f t="shared" si="122"/>
        <v>28.927596179775286</v>
      </c>
      <c r="M1107" s="1">
        <v>-232.35858999999999</v>
      </c>
      <c r="N1107" s="1">
        <v>-30.30048</v>
      </c>
    </row>
    <row r="1108" spans="1:14" x14ac:dyDescent="0.4">
      <c r="B1108" s="1">
        <v>55.949999999999903</v>
      </c>
      <c r="C1108" s="1" t="s">
        <v>1119</v>
      </c>
      <c r="D1108" s="3">
        <f t="shared" ref="D1108:D1130" si="124">-0.833333*B1108+1963.583333</f>
        <v>1916.9583516500002</v>
      </c>
      <c r="E1108" s="1">
        <v>16.490600000000001</v>
      </c>
      <c r="F1108" s="1">
        <v>41.685499999999998</v>
      </c>
      <c r="G1108" s="1">
        <v>2.0211000000000001</v>
      </c>
      <c r="H1108" s="1">
        <v>2.1798000000000002</v>
      </c>
      <c r="I1108" s="1">
        <v>35.036499999999997</v>
      </c>
      <c r="J1108" s="1">
        <f t="shared" si="121"/>
        <v>34.409857199999998</v>
      </c>
      <c r="K1108" s="1">
        <v>9.897010000000023</v>
      </c>
      <c r="L1108" s="1">
        <f t="shared" si="122"/>
        <v>-2.8407804494381992</v>
      </c>
      <c r="M1108" s="1">
        <v>-233.60019</v>
      </c>
      <c r="N1108" s="1">
        <v>-30.545770000000001</v>
      </c>
    </row>
    <row r="1109" spans="1:14" x14ac:dyDescent="0.4">
      <c r="B1109" s="1">
        <v>55.999999999999901</v>
      </c>
      <c r="C1109" s="1" t="s">
        <v>1120</v>
      </c>
      <c r="D1109" s="3">
        <f t="shared" si="124"/>
        <v>1916.9166850000001</v>
      </c>
      <c r="E1109" s="1">
        <v>16.7851</v>
      </c>
      <c r="F1109" s="1">
        <v>15.4438</v>
      </c>
      <c r="G1109" s="1">
        <v>6.4836</v>
      </c>
      <c r="H1109" s="1">
        <v>5.1351000000000004</v>
      </c>
      <c r="I1109" s="1">
        <v>55.528300000000002</v>
      </c>
      <c r="J1109" s="1">
        <f t="shared" si="121"/>
        <v>54.890466199999999</v>
      </c>
      <c r="K1109" s="1">
        <v>11.357400000000013</v>
      </c>
      <c r="L1109" s="1">
        <f t="shared" si="122"/>
        <v>-14.052240561797753</v>
      </c>
      <c r="M1109" s="1">
        <v>-243.35223999999999</v>
      </c>
      <c r="N1109" s="1">
        <v>-31.496929999999999</v>
      </c>
    </row>
    <row r="1110" spans="1:14" x14ac:dyDescent="0.4">
      <c r="B1110" s="1">
        <v>56.049999999999898</v>
      </c>
      <c r="C1110" s="1" t="s">
        <v>1121</v>
      </c>
      <c r="D1110" s="3">
        <f t="shared" si="124"/>
        <v>1916.8750183500001</v>
      </c>
      <c r="E1110" s="1">
        <v>29.917300000000001</v>
      </c>
      <c r="F1110" s="1">
        <v>45.498600000000003</v>
      </c>
      <c r="G1110" s="1">
        <v>1.4761</v>
      </c>
      <c r="H1110" s="1">
        <v>3.0827</v>
      </c>
      <c r="I1110" s="1">
        <v>14.424300000000001</v>
      </c>
      <c r="J1110" s="1">
        <f t="shared" si="121"/>
        <v>13.2874426</v>
      </c>
      <c r="K1110" s="1">
        <v>10.04525000000001</v>
      </c>
      <c r="L1110" s="1">
        <f t="shared" si="122"/>
        <v>22.452444606741572</v>
      </c>
      <c r="M1110" s="1">
        <v>-244.34403</v>
      </c>
      <c r="N1110" s="1">
        <v>-31.569140000000001</v>
      </c>
    </row>
    <row r="1111" spans="1:14" x14ac:dyDescent="0.4">
      <c r="B1111" s="1">
        <v>56.099999999999902</v>
      </c>
      <c r="C1111" s="1" t="s">
        <v>1122</v>
      </c>
      <c r="D1111" s="3">
        <f t="shared" si="124"/>
        <v>1916.8333517000001</v>
      </c>
      <c r="E1111" s="1">
        <v>122.7206</v>
      </c>
      <c r="F1111" s="1">
        <v>12.289899999999999</v>
      </c>
      <c r="G1111" s="1">
        <v>5.3390000000000004</v>
      </c>
      <c r="H1111" s="1">
        <v>16.767800000000001</v>
      </c>
      <c r="I1111" s="1">
        <v>83.128699999999995</v>
      </c>
      <c r="J1111" s="1">
        <f t="shared" si="121"/>
        <v>78.465317200000001</v>
      </c>
      <c r="K1111" s="1">
        <v>10.76597000000001</v>
      </c>
      <c r="L1111" s="1">
        <f t="shared" si="122"/>
        <v>78.638961123595507</v>
      </c>
      <c r="M1111" s="1">
        <v>-239.62395000000001</v>
      </c>
      <c r="N1111" s="1">
        <v>-31.123950000000001</v>
      </c>
    </row>
    <row r="1112" spans="1:14" x14ac:dyDescent="0.4">
      <c r="B1112" s="1">
        <v>56.149999999999899</v>
      </c>
      <c r="C1112" s="1" t="s">
        <v>1123</v>
      </c>
      <c r="D1112" s="3">
        <f t="shared" si="124"/>
        <v>1916.7916850500001</v>
      </c>
      <c r="E1112" s="1">
        <v>139.6661</v>
      </c>
      <c r="F1112" s="1">
        <v>43.258899999999997</v>
      </c>
      <c r="G1112" s="1">
        <v>6.7952000000000004</v>
      </c>
      <c r="H1112" s="1">
        <v>10.3657</v>
      </c>
      <c r="I1112" s="1">
        <v>53.564900000000002</v>
      </c>
      <c r="J1112" s="1">
        <f t="shared" si="121"/>
        <v>48.257588200000001</v>
      </c>
      <c r="K1112" s="1">
        <v>8.6231999999999971</v>
      </c>
      <c r="L1112" s="1">
        <f t="shared" si="122"/>
        <v>112.55509539325843</v>
      </c>
      <c r="M1112" s="1">
        <v>-218.79857000000001</v>
      </c>
      <c r="N1112" s="1">
        <v>-29.046019999999999</v>
      </c>
    </row>
    <row r="1113" spans="1:14" x14ac:dyDescent="0.4">
      <c r="B1113" s="1">
        <v>56.199999999999903</v>
      </c>
      <c r="C1113" s="1" t="s">
        <v>1124</v>
      </c>
      <c r="D1113" s="3">
        <f t="shared" si="124"/>
        <v>1916.7500184</v>
      </c>
      <c r="E1113" s="1">
        <v>109.96550000000001</v>
      </c>
      <c r="F1113" s="1">
        <v>30.525500000000001</v>
      </c>
      <c r="G1113" s="1">
        <v>11.1244</v>
      </c>
      <c r="H1113" s="1">
        <v>25.364999999999998</v>
      </c>
      <c r="I1113" s="1">
        <v>94.111999999999995</v>
      </c>
      <c r="J1113" s="1">
        <f t="shared" si="121"/>
        <v>89.933310999999989</v>
      </c>
      <c r="K1113" s="1">
        <v>8.2090900000000033</v>
      </c>
      <c r="L1113" s="1">
        <f t="shared" si="122"/>
        <v>59.441167977528103</v>
      </c>
      <c r="M1113" s="1">
        <v>-211.08114</v>
      </c>
      <c r="N1113" s="1">
        <v>-27.882709999999999</v>
      </c>
    </row>
    <row r="1114" spans="1:14" x14ac:dyDescent="0.4">
      <c r="B1114" s="1">
        <v>56.249999999999901</v>
      </c>
      <c r="C1114" s="1" t="s">
        <v>1125</v>
      </c>
      <c r="D1114" s="3">
        <f t="shared" si="124"/>
        <v>1916.70835175</v>
      </c>
      <c r="E1114" s="1">
        <v>58.670099999999998</v>
      </c>
      <c r="F1114" s="1">
        <v>42.767899999999997</v>
      </c>
      <c r="G1114" s="1">
        <v>3.0303</v>
      </c>
      <c r="H1114" s="1">
        <v>7.9470999999999998</v>
      </c>
      <c r="I1114" s="1">
        <v>16.200299999999999</v>
      </c>
      <c r="J1114" s="1">
        <f t="shared" si="121"/>
        <v>13.970836199999999</v>
      </c>
      <c r="K1114" s="1">
        <v>9.3676499999999976</v>
      </c>
      <c r="L1114" s="1">
        <f t="shared" si="122"/>
        <v>50.821315617977525</v>
      </c>
      <c r="M1114" s="1">
        <v>-210.97011000000001</v>
      </c>
      <c r="N1114" s="1">
        <v>-27.745629999999998</v>
      </c>
    </row>
    <row r="1115" spans="1:14" x14ac:dyDescent="0.4">
      <c r="B1115" s="1">
        <v>56.299999999999898</v>
      </c>
      <c r="C1115" s="1" t="s">
        <v>1126</v>
      </c>
      <c r="D1115" s="3">
        <f t="shared" si="124"/>
        <v>1916.6666851000002</v>
      </c>
      <c r="E1115" s="1">
        <v>101.5167</v>
      </c>
      <c r="F1115" s="1">
        <v>13.940799999999999</v>
      </c>
      <c r="G1115" s="1">
        <v>3.9548999999999999</v>
      </c>
      <c r="H1115" s="1">
        <v>21.023399999999999</v>
      </c>
      <c r="I1115" s="1">
        <v>92.483400000000003</v>
      </c>
      <c r="J1115" s="1">
        <f t="shared" si="121"/>
        <v>88.625765400000006</v>
      </c>
      <c r="K1115" s="1">
        <v>13.569589999999977</v>
      </c>
      <c r="L1115" s="1">
        <f t="shared" si="122"/>
        <v>51.726944157303372</v>
      </c>
      <c r="M1115" s="1">
        <v>-211.01884000000001</v>
      </c>
      <c r="N1115" s="1">
        <v>-27.728400000000001</v>
      </c>
    </row>
    <row r="1116" spans="1:14" x14ac:dyDescent="0.4">
      <c r="B1116" s="1">
        <v>56.349999999999902</v>
      </c>
      <c r="C1116" s="1" t="s">
        <v>1127</v>
      </c>
      <c r="D1116" s="3">
        <f t="shared" si="124"/>
        <v>1916.6250184500002</v>
      </c>
      <c r="E1116" s="1">
        <v>53.219700000000003</v>
      </c>
      <c r="F1116" s="1">
        <v>37.441200000000002</v>
      </c>
      <c r="G1116" s="1">
        <v>4.0461999999999998</v>
      </c>
      <c r="H1116" s="1">
        <v>5.6723999999999997</v>
      </c>
      <c r="I1116" s="1">
        <v>21.1675</v>
      </c>
      <c r="J1116" s="1">
        <f t="shared" si="121"/>
        <v>19.1451514</v>
      </c>
      <c r="K1116" s="1">
        <v>11.980539999999991</v>
      </c>
      <c r="L1116" s="1">
        <f t="shared" si="122"/>
        <v>42.463996966292136</v>
      </c>
      <c r="M1116" s="1">
        <v>-230.24495999999999</v>
      </c>
      <c r="N1116" s="1">
        <v>-30.114460000000001</v>
      </c>
    </row>
    <row r="1117" spans="1:14" x14ac:dyDescent="0.4">
      <c r="B1117" s="1">
        <v>56.399999999999899</v>
      </c>
      <c r="C1117" s="1" t="s">
        <v>1128</v>
      </c>
      <c r="D1117" s="3">
        <f t="shared" si="124"/>
        <v>1916.5833518000002</v>
      </c>
      <c r="E1117" s="1">
        <v>38.713999999999999</v>
      </c>
      <c r="F1117" s="1">
        <v>11.9384</v>
      </c>
      <c r="G1117" s="1">
        <v>3.8336000000000001</v>
      </c>
      <c r="H1117" s="1">
        <v>6.1097000000000001</v>
      </c>
      <c r="I1117" s="1">
        <v>47.989800000000002</v>
      </c>
      <c r="J1117" s="1">
        <f t="shared" si="121"/>
        <v>46.518668000000005</v>
      </c>
      <c r="K1117" s="1">
        <v>10.994929999999982</v>
      </c>
      <c r="L1117" s="1">
        <f t="shared" si="122"/>
        <v>12.579916853932581</v>
      </c>
      <c r="M1117" s="1">
        <v>-235.53181000000001</v>
      </c>
      <c r="N1117" s="1">
        <v>-30.266310000000001</v>
      </c>
    </row>
    <row r="1118" spans="1:14" x14ac:dyDescent="0.4">
      <c r="B1118" s="1">
        <v>56.449999999999903</v>
      </c>
      <c r="C1118" s="1" t="s">
        <v>1129</v>
      </c>
      <c r="D1118" s="3">
        <f t="shared" si="124"/>
        <v>1916.5416851500001</v>
      </c>
      <c r="E1118" s="1">
        <v>68.895399999999995</v>
      </c>
      <c r="F1118" s="1">
        <v>38.945900000000002</v>
      </c>
      <c r="G1118" s="1">
        <v>4.3563000000000001</v>
      </c>
      <c r="H1118" s="1">
        <v>17.872800000000002</v>
      </c>
      <c r="I1118" s="1">
        <v>17.267199999999999</v>
      </c>
      <c r="J1118" s="1">
        <f t="shared" si="121"/>
        <v>14.649174799999999</v>
      </c>
      <c r="K1118" s="1">
        <v>10.808359999999993</v>
      </c>
      <c r="L1118" s="1">
        <f t="shared" si="122"/>
        <v>60.66552651685393</v>
      </c>
      <c r="M1118" s="1">
        <v>-255.39134000000001</v>
      </c>
      <c r="N1118" s="1">
        <v>-32.530090000000001</v>
      </c>
    </row>
    <row r="1119" spans="1:14" x14ac:dyDescent="0.4">
      <c r="B1119" s="1">
        <v>56.499999999999901</v>
      </c>
      <c r="C1119" s="1" t="s">
        <v>1130</v>
      </c>
      <c r="D1119" s="3">
        <f t="shared" si="124"/>
        <v>1916.5000185000001</v>
      </c>
      <c r="E1119" s="1">
        <v>83.497200000000007</v>
      </c>
      <c r="F1119" s="1">
        <v>24.803999999999998</v>
      </c>
      <c r="G1119" s="1">
        <v>13.2996</v>
      </c>
      <c r="H1119" s="1">
        <v>17.286000000000001</v>
      </c>
      <c r="I1119" s="1">
        <v>73.440399999999997</v>
      </c>
      <c r="J1119" s="1">
        <f t="shared" si="121"/>
        <v>70.267506400000002</v>
      </c>
      <c r="K1119" s="1">
        <v>10.670720000000017</v>
      </c>
      <c r="L1119" s="1">
        <f t="shared" si="122"/>
        <v>44.02107280898877</v>
      </c>
      <c r="M1119" s="1">
        <v>-260.50416000000001</v>
      </c>
      <c r="N1119" s="1">
        <v>-32.408430000000003</v>
      </c>
    </row>
    <row r="1120" spans="1:14" x14ac:dyDescent="0.4">
      <c r="B1120" s="1">
        <v>56.549999999999898</v>
      </c>
      <c r="C1120" s="1" t="s">
        <v>1131</v>
      </c>
      <c r="D1120" s="3">
        <f t="shared" si="124"/>
        <v>1916.4583518500001</v>
      </c>
      <c r="E1120" s="1">
        <v>73.482100000000003</v>
      </c>
      <c r="F1120" s="1">
        <v>11.1746</v>
      </c>
      <c r="G1120" s="1">
        <v>5.1638000000000002</v>
      </c>
      <c r="H1120" s="1">
        <v>17.100100000000001</v>
      </c>
      <c r="I1120" s="1">
        <v>17.921500000000002</v>
      </c>
      <c r="J1120" s="1">
        <f t="shared" si="121"/>
        <v>15.129180200000002</v>
      </c>
      <c r="K1120" s="1">
        <v>6.5986699999999985</v>
      </c>
      <c r="L1120" s="1">
        <f t="shared" si="122"/>
        <v>64.982560561797754</v>
      </c>
      <c r="M1120" s="1">
        <v>-261.84683999999999</v>
      </c>
      <c r="N1120" s="1">
        <v>-33.73227</v>
      </c>
    </row>
    <row r="1121" spans="1:14" x14ac:dyDescent="0.4">
      <c r="B1121" s="1">
        <v>56.599999999999902</v>
      </c>
      <c r="C1121" s="1" t="s">
        <v>1132</v>
      </c>
      <c r="D1121" s="3">
        <f t="shared" si="124"/>
        <v>1916.4166852000001</v>
      </c>
      <c r="E1121" s="1">
        <v>944.34029999999996</v>
      </c>
      <c r="F1121" s="1">
        <v>49.421999999999997</v>
      </c>
      <c r="G1121" s="1">
        <v>30.826899999999998</v>
      </c>
      <c r="H1121" s="1">
        <v>62.829300000000003</v>
      </c>
      <c r="I1121" s="1">
        <v>167.79230000000001</v>
      </c>
      <c r="J1121" s="1">
        <f t="shared" si="121"/>
        <v>131.90736860000001</v>
      </c>
      <c r="K1121" s="1">
        <v>4.8493799999999965</v>
      </c>
      <c r="L1121" s="1">
        <f t="shared" si="122"/>
        <v>870.23503674157303</v>
      </c>
      <c r="M1121" s="1">
        <v>-258.65204</v>
      </c>
      <c r="N1121" s="1">
        <v>-33.261780000000002</v>
      </c>
    </row>
    <row r="1122" spans="1:14" x14ac:dyDescent="0.4">
      <c r="B1122" s="1">
        <v>56.649999999999899</v>
      </c>
      <c r="C1122" s="1" t="s">
        <v>1133</v>
      </c>
      <c r="D1122" s="3">
        <f t="shared" si="124"/>
        <v>1916.37501855</v>
      </c>
      <c r="E1122" s="1">
        <v>369.1669</v>
      </c>
      <c r="F1122" s="1">
        <v>61.904200000000003</v>
      </c>
      <c r="G1122" s="1">
        <v>22.7254</v>
      </c>
      <c r="H1122" s="1">
        <v>37.918300000000002</v>
      </c>
      <c r="I1122" s="1">
        <v>36.893000000000001</v>
      </c>
      <c r="J1122" s="1">
        <f t="shared" si="121"/>
        <v>22.864657800000003</v>
      </c>
      <c r="K1122" s="1">
        <v>-1.2367199999999912</v>
      </c>
      <c r="L1122" s="1">
        <f t="shared" si="122"/>
        <v>356.32158662921347</v>
      </c>
      <c r="M1122" s="1">
        <v>-251.57526999999999</v>
      </c>
      <c r="N1122" s="1">
        <v>-32.532240000000002</v>
      </c>
    </row>
    <row r="1123" spans="1:14" x14ac:dyDescent="0.4">
      <c r="B1123" s="1">
        <v>56.699999999999903</v>
      </c>
      <c r="C1123" s="1" t="s">
        <v>1134</v>
      </c>
      <c r="D1123" s="3">
        <f t="shared" si="124"/>
        <v>1916.3333519</v>
      </c>
      <c r="E1123" s="1">
        <v>22.7422</v>
      </c>
      <c r="F1123" s="1">
        <v>17.288900000000002</v>
      </c>
      <c r="G1123" s="1">
        <v>2.0533000000000001</v>
      </c>
      <c r="H1123" s="1">
        <v>6.1344000000000003</v>
      </c>
      <c r="I1123" s="1">
        <v>32.816099999999999</v>
      </c>
      <c r="J1123" s="1">
        <f t="shared" si="121"/>
        <v>31.951896399999999</v>
      </c>
      <c r="K1123" s="1">
        <v>8.011320000000012</v>
      </c>
      <c r="L1123" s="1">
        <f t="shared" si="122"/>
        <v>4.7916964044943846</v>
      </c>
      <c r="M1123" s="1">
        <v>-246.88826</v>
      </c>
      <c r="N1123" s="1">
        <v>-32.021799999999999</v>
      </c>
    </row>
    <row r="1124" spans="1:14" x14ac:dyDescent="0.4">
      <c r="B1124" s="1">
        <v>56.749999999999901</v>
      </c>
      <c r="C1124" s="1" t="s">
        <v>1135</v>
      </c>
      <c r="D1124" s="3">
        <f t="shared" si="124"/>
        <v>1916.2916852500002</v>
      </c>
      <c r="E1124" s="1">
        <v>32.286299999999997</v>
      </c>
      <c r="F1124" s="1">
        <v>11.9575</v>
      </c>
      <c r="G1124" s="1">
        <v>1.9357</v>
      </c>
      <c r="H1124" s="1">
        <v>1.4618</v>
      </c>
      <c r="I1124" s="1">
        <v>9.1933000000000007</v>
      </c>
      <c r="J1124" s="1">
        <f t="shared" si="121"/>
        <v>7.9664206000000011</v>
      </c>
      <c r="K1124" s="1">
        <v>7.4422000000000139</v>
      </c>
      <c r="L1124" s="1">
        <f t="shared" si="122"/>
        <v>27.810782808988762</v>
      </c>
      <c r="M1124" s="1">
        <v>-244.98482000000001</v>
      </c>
      <c r="N1124" s="1">
        <v>-31.643249999999998</v>
      </c>
    </row>
    <row r="1125" spans="1:14" x14ac:dyDescent="0.4">
      <c r="B1125" s="1">
        <v>56.799999999999898</v>
      </c>
      <c r="C1125" s="1" t="s">
        <v>1136</v>
      </c>
      <c r="D1125" s="3">
        <f t="shared" si="124"/>
        <v>1916.2500186000002</v>
      </c>
      <c r="E1125" s="1">
        <v>65.938299999999998</v>
      </c>
      <c r="F1125" s="1">
        <v>9.4571000000000005</v>
      </c>
      <c r="G1125" s="1">
        <v>4.0190999999999999</v>
      </c>
      <c r="H1125" s="1">
        <v>11.856299999999999</v>
      </c>
      <c r="I1125" s="1">
        <v>61.618200000000002</v>
      </c>
      <c r="J1125" s="1">
        <f t="shared" si="121"/>
        <v>59.1125446</v>
      </c>
      <c r="K1125" s="1">
        <v>8.6826500000000237</v>
      </c>
      <c r="L1125" s="1">
        <f t="shared" si="122"/>
        <v>32.729005280898875</v>
      </c>
      <c r="M1125" s="1">
        <v>-242.55112</v>
      </c>
      <c r="N1125" s="1">
        <v>-31.159030000000001</v>
      </c>
    </row>
    <row r="1126" spans="1:14" x14ac:dyDescent="0.4">
      <c r="B1126" s="1">
        <v>56.849999999999902</v>
      </c>
      <c r="C1126" s="1" t="s">
        <v>1137</v>
      </c>
      <c r="D1126" s="3">
        <f t="shared" si="124"/>
        <v>1916.2083519500002</v>
      </c>
      <c r="E1126" s="1">
        <v>100.0201</v>
      </c>
      <c r="F1126" s="1">
        <v>99.797300000000007</v>
      </c>
      <c r="G1126" s="1">
        <v>11.934799999999999</v>
      </c>
      <c r="H1126" s="1">
        <v>18.0305</v>
      </c>
      <c r="I1126" s="1">
        <v>66.934700000000007</v>
      </c>
      <c r="J1126" s="1">
        <f t="shared" si="121"/>
        <v>63.133936200000008</v>
      </c>
      <c r="K1126" s="1">
        <v>9.286139999999989</v>
      </c>
      <c r="L1126" s="1">
        <f t="shared" si="122"/>
        <v>64.55159651685392</v>
      </c>
      <c r="M1126" s="1">
        <v>-238.49341000000001</v>
      </c>
      <c r="N1126" s="1">
        <v>-30.578530000000001</v>
      </c>
    </row>
    <row r="1127" spans="1:14" x14ac:dyDescent="0.4">
      <c r="B1127" s="1">
        <v>56.899999999999899</v>
      </c>
      <c r="C1127" s="1" t="s">
        <v>1138</v>
      </c>
      <c r="D1127" s="3">
        <f t="shared" si="124"/>
        <v>1916.1666853000002</v>
      </c>
      <c r="E1127" s="1">
        <v>38.092799999999997</v>
      </c>
      <c r="F1127" s="1">
        <v>16.499199999999998</v>
      </c>
      <c r="G1127" s="1">
        <v>5.2813999999999997</v>
      </c>
      <c r="H1127" s="1">
        <v>12.2994</v>
      </c>
      <c r="I1127" s="1">
        <v>83.788799999999995</v>
      </c>
      <c r="J1127" s="1">
        <f t="shared" si="121"/>
        <v>82.341273599999994</v>
      </c>
      <c r="K1127" s="1">
        <v>8.1611799999999732</v>
      </c>
      <c r="L1127" s="1">
        <f t="shared" si="122"/>
        <v>-8.166342471910113</v>
      </c>
      <c r="M1127" s="1">
        <v>-233.89169000000001</v>
      </c>
      <c r="N1127" s="1">
        <v>-30.012450000000001</v>
      </c>
    </row>
    <row r="1128" spans="1:14" x14ac:dyDescent="0.4">
      <c r="B1128" s="1">
        <v>56.949999999999903</v>
      </c>
      <c r="C1128" s="1" t="s">
        <v>1139</v>
      </c>
      <c r="D1128" s="3">
        <f t="shared" si="124"/>
        <v>1916.1250186500001</v>
      </c>
      <c r="E1128" s="1">
        <v>43.184199999999997</v>
      </c>
      <c r="F1128" s="1">
        <v>57.4679</v>
      </c>
      <c r="G1128" s="1">
        <v>5.4242999999999997</v>
      </c>
      <c r="H1128" s="1">
        <v>4.3738999999999999</v>
      </c>
      <c r="I1128" s="1">
        <v>18.042999999999999</v>
      </c>
      <c r="J1128" s="1">
        <f t="shared" si="121"/>
        <v>16.402000399999999</v>
      </c>
      <c r="K1128" s="1">
        <v>6.7211200000000133</v>
      </c>
      <c r="L1128" s="1">
        <f t="shared" si="122"/>
        <v>33.969593033707866</v>
      </c>
      <c r="M1128" s="1">
        <v>-234.44642999999999</v>
      </c>
      <c r="N1128" s="1">
        <v>-30.20288</v>
      </c>
    </row>
    <row r="1129" spans="1:14" x14ac:dyDescent="0.4">
      <c r="B1129" s="1">
        <v>56.999999999999901</v>
      </c>
      <c r="C1129" s="1" t="s">
        <v>1140</v>
      </c>
      <c r="D1129" s="3">
        <f t="shared" si="124"/>
        <v>1916.0833520000001</v>
      </c>
      <c r="E1129" s="1">
        <v>69.4452</v>
      </c>
      <c r="F1129" s="1">
        <v>46.701900000000002</v>
      </c>
      <c r="G1129" s="1">
        <v>4.3136000000000001</v>
      </c>
      <c r="H1129" s="1">
        <v>7.5125999999999999</v>
      </c>
      <c r="I1129" s="1">
        <v>74.578000000000003</v>
      </c>
      <c r="J1129" s="1">
        <f t="shared" si="121"/>
        <v>71.939082400000004</v>
      </c>
      <c r="K1129" s="1">
        <v>6.1348299999999938</v>
      </c>
      <c r="L1129" s="1">
        <f t="shared" si="122"/>
        <v>29.029985168539326</v>
      </c>
      <c r="M1129" s="1">
        <v>-233.15713</v>
      </c>
      <c r="N1129" s="1">
        <v>-30.083819999999999</v>
      </c>
    </row>
    <row r="1130" spans="1:14" x14ac:dyDescent="0.4">
      <c r="B1130" s="1">
        <v>57.049999999999898</v>
      </c>
      <c r="C1130" s="1" t="s">
        <v>1141</v>
      </c>
      <c r="D1130" s="3">
        <f t="shared" si="124"/>
        <v>1916.0416853500001</v>
      </c>
      <c r="E1130" s="1">
        <v>11.4863</v>
      </c>
      <c r="F1130" s="1">
        <v>64.418899999999994</v>
      </c>
      <c r="G1130" s="1">
        <v>5.6725000000000003</v>
      </c>
      <c r="H1130" s="1">
        <v>2.4297</v>
      </c>
      <c r="I1130" s="1">
        <v>34.856099999999998</v>
      </c>
      <c r="J1130" s="1">
        <f t="shared" si="121"/>
        <v>34.419620599999995</v>
      </c>
      <c r="K1130" s="1">
        <v>6.2079099999999983</v>
      </c>
      <c r="L1130" s="1">
        <f t="shared" si="122"/>
        <v>-7.8505655056179755</v>
      </c>
      <c r="M1130" s="1">
        <v>-235.93364</v>
      </c>
      <c r="N1130" s="1">
        <v>-30.472930000000002</v>
      </c>
    </row>
    <row r="1131" spans="1:14" x14ac:dyDescent="0.4">
      <c r="A1131" s="1">
        <v>1916</v>
      </c>
      <c r="B1131" s="1">
        <v>57.099999999999902</v>
      </c>
      <c r="C1131" s="1" t="s">
        <v>1142</v>
      </c>
      <c r="D1131" s="3">
        <f>-1.3333*B1131+1992.13333</f>
        <v>1916.0019</v>
      </c>
      <c r="E1131" s="1">
        <v>9.0045999999999999</v>
      </c>
      <c r="F1131" s="1">
        <v>12.6389</v>
      </c>
      <c r="G1131" s="1">
        <v>1.9931000000000001</v>
      </c>
      <c r="H1131" s="1">
        <v>1.9241999999999999</v>
      </c>
      <c r="I1131" s="1">
        <v>29.632000000000001</v>
      </c>
      <c r="J1131" s="1">
        <f t="shared" si="121"/>
        <v>29.289825200000003</v>
      </c>
      <c r="K1131" s="1">
        <v>7.1766100000000108</v>
      </c>
      <c r="L1131" s="1">
        <f t="shared" si="122"/>
        <v>-7.4503579775280926</v>
      </c>
      <c r="M1131" s="1">
        <v>-235.39813000000001</v>
      </c>
      <c r="N1131" s="1">
        <v>-30.14395</v>
      </c>
    </row>
    <row r="1132" spans="1:14" x14ac:dyDescent="0.4">
      <c r="B1132" s="1">
        <v>57.149999999999899</v>
      </c>
      <c r="C1132" s="1" t="s">
        <v>1143</v>
      </c>
      <c r="D1132" s="3">
        <f t="shared" ref="D1132:D1145" si="125">-1.3333*B1132+1992.13333</f>
        <v>1915.9352349999999</v>
      </c>
      <c r="E1132" s="1">
        <v>7.5975999999999999</v>
      </c>
      <c r="F1132" s="1">
        <v>100.4545</v>
      </c>
      <c r="G1132" s="1">
        <v>5.1182999999999996</v>
      </c>
      <c r="H1132" s="1">
        <v>3.2730000000000001</v>
      </c>
      <c r="I1132" s="1">
        <v>28.6738</v>
      </c>
      <c r="J1132" s="1">
        <f t="shared" si="121"/>
        <v>28.385091200000002</v>
      </c>
      <c r="K1132" s="1">
        <v>7.5134299999999996</v>
      </c>
      <c r="L1132" s="1">
        <f t="shared" si="122"/>
        <v>-8.3490804494382029</v>
      </c>
      <c r="M1132" s="1">
        <v>-234.40881999999999</v>
      </c>
      <c r="N1132" s="1">
        <v>-30.133849999999999</v>
      </c>
    </row>
    <row r="1133" spans="1:14" x14ac:dyDescent="0.4">
      <c r="B1133" s="1">
        <v>57.199999999999903</v>
      </c>
      <c r="C1133" s="1" t="s">
        <v>1144</v>
      </c>
      <c r="D1133" s="3">
        <f t="shared" si="125"/>
        <v>1915.8685700000001</v>
      </c>
      <c r="E1133" s="1">
        <v>59.115000000000002</v>
      </c>
      <c r="F1133" s="1">
        <v>48.523699999999998</v>
      </c>
      <c r="G1133" s="1">
        <v>4.5578000000000003</v>
      </c>
      <c r="H1133" s="1">
        <v>12.0825</v>
      </c>
      <c r="I1133" s="1">
        <v>51.883699999999997</v>
      </c>
      <c r="J1133" s="1">
        <f t="shared" si="121"/>
        <v>49.637329999999999</v>
      </c>
      <c r="K1133" s="1">
        <v>7.8498000000000161</v>
      </c>
      <c r="L1133" s="1">
        <f t="shared" si="122"/>
        <v>31.228859550561801</v>
      </c>
      <c r="M1133" s="1">
        <v>-230.76093</v>
      </c>
      <c r="N1133" s="1">
        <v>-29.611080000000001</v>
      </c>
    </row>
    <row r="1134" spans="1:14" x14ac:dyDescent="0.4">
      <c r="B1134" s="1">
        <v>57.249999999999901</v>
      </c>
      <c r="C1134" s="1" t="s">
        <v>1145</v>
      </c>
      <c r="D1134" s="3">
        <f t="shared" si="125"/>
        <v>1915.801905</v>
      </c>
      <c r="E1134" s="1">
        <v>69.852500000000006</v>
      </c>
      <c r="F1134" s="1">
        <v>106.283</v>
      </c>
      <c r="G1134" s="1">
        <v>11.412599999999999</v>
      </c>
      <c r="H1134" s="1">
        <v>8.8521999999999998</v>
      </c>
      <c r="I1134" s="1">
        <v>61.818300000000001</v>
      </c>
      <c r="J1134" s="1">
        <f t="shared" si="121"/>
        <v>59.163905</v>
      </c>
      <c r="K1134" s="1">
        <v>5.753469999999993</v>
      </c>
      <c r="L1134" s="1">
        <f t="shared" si="122"/>
        <v>36.614351123595512</v>
      </c>
      <c r="M1134" s="1">
        <v>-222.92375000000001</v>
      </c>
      <c r="N1134" s="1">
        <v>-28.78952</v>
      </c>
    </row>
    <row r="1135" spans="1:14" x14ac:dyDescent="0.4">
      <c r="B1135" s="1">
        <v>57.299999999999898</v>
      </c>
      <c r="C1135" s="1" t="s">
        <v>1146</v>
      </c>
      <c r="D1135" s="3">
        <f t="shared" si="125"/>
        <v>1915.73524</v>
      </c>
      <c r="E1135" s="1">
        <v>227.1806</v>
      </c>
      <c r="F1135" s="1">
        <v>19.599699999999999</v>
      </c>
      <c r="G1135" s="1">
        <v>9.5615000000000006</v>
      </c>
      <c r="H1135" s="1">
        <v>40.442500000000003</v>
      </c>
      <c r="I1135" s="1">
        <v>70.738200000000006</v>
      </c>
      <c r="J1135" s="1">
        <f t="shared" si="121"/>
        <v>62.105337200000008</v>
      </c>
      <c r="K1135" s="1">
        <v>6.6619799999999998</v>
      </c>
      <c r="L1135" s="1">
        <f t="shared" si="122"/>
        <v>192.2899611235955</v>
      </c>
      <c r="M1135" s="1">
        <v>-219.91367</v>
      </c>
      <c r="N1135" s="1">
        <v>-28.596080000000001</v>
      </c>
    </row>
    <row r="1136" spans="1:14" x14ac:dyDescent="0.4">
      <c r="B1136" s="1">
        <v>57.349999999999902</v>
      </c>
      <c r="C1136" s="1" t="s">
        <v>1147</v>
      </c>
      <c r="D1136" s="3">
        <f t="shared" si="125"/>
        <v>1915.6685749999999</v>
      </c>
      <c r="E1136" s="1">
        <v>34.488100000000003</v>
      </c>
      <c r="F1136" s="1">
        <v>24.154299999999999</v>
      </c>
      <c r="G1136" s="1">
        <v>3.3288000000000002</v>
      </c>
      <c r="H1136" s="1">
        <v>3.0629</v>
      </c>
      <c r="I1136" s="1">
        <v>23.4849</v>
      </c>
      <c r="J1136" s="1">
        <f t="shared" si="121"/>
        <v>22.174352200000001</v>
      </c>
      <c r="K1136" s="1">
        <v>6.1277100000000075</v>
      </c>
      <c r="L1136" s="1">
        <f t="shared" si="122"/>
        <v>22.030598764044946</v>
      </c>
      <c r="M1136" s="1">
        <v>-193.45169999999999</v>
      </c>
      <c r="N1136" s="1">
        <v>-25.38598</v>
      </c>
    </row>
    <row r="1137" spans="1:14" x14ac:dyDescent="0.4">
      <c r="B1137" s="1">
        <v>57.399999999999899</v>
      </c>
      <c r="C1137" s="1" t="s">
        <v>1148</v>
      </c>
      <c r="D1137" s="3">
        <f t="shared" si="125"/>
        <v>1915.6019100000001</v>
      </c>
      <c r="E1137" s="1">
        <v>36.868299999999998</v>
      </c>
      <c r="F1137" s="1">
        <v>10.0762</v>
      </c>
      <c r="G1137" s="1">
        <v>6.0167999999999999</v>
      </c>
      <c r="H1137" s="1">
        <v>7.6797000000000004</v>
      </c>
      <c r="I1137" s="1">
        <v>115.1698</v>
      </c>
      <c r="J1137" s="1">
        <f t="shared" si="121"/>
        <v>113.7688046</v>
      </c>
      <c r="K1137" s="1">
        <v>7.3924099999999839</v>
      </c>
      <c r="L1137" s="1">
        <f t="shared" si="122"/>
        <v>-27.046758764044945</v>
      </c>
      <c r="M1137" s="1">
        <v>-185.05914000000001</v>
      </c>
      <c r="N1137" s="1">
        <v>-24.692</v>
      </c>
    </row>
    <row r="1138" spans="1:14" x14ac:dyDescent="0.4">
      <c r="B1138" s="1">
        <v>57.449999999999903</v>
      </c>
      <c r="C1138" s="1" t="s">
        <v>1149</v>
      </c>
      <c r="D1138" s="3">
        <f t="shared" si="125"/>
        <v>1915.535245</v>
      </c>
      <c r="E1138" s="1">
        <v>35.055900000000001</v>
      </c>
      <c r="F1138" s="1">
        <v>16.136399999999998</v>
      </c>
      <c r="G1138" s="1">
        <v>6.4816000000000003</v>
      </c>
      <c r="H1138" s="1">
        <v>3.2298</v>
      </c>
      <c r="I1138" s="1">
        <v>15.310499999999999</v>
      </c>
      <c r="J1138" s="1">
        <f t="shared" si="121"/>
        <v>13.978375799999998</v>
      </c>
      <c r="K1138" s="1">
        <v>8.8549700000000087</v>
      </c>
      <c r="L1138" s="1">
        <f t="shared" si="122"/>
        <v>27.202879887640449</v>
      </c>
      <c r="M1138" s="1">
        <v>-184.95208</v>
      </c>
      <c r="N1138" s="1">
        <v>-24.65615</v>
      </c>
    </row>
    <row r="1139" spans="1:14" x14ac:dyDescent="0.4">
      <c r="B1139" s="1">
        <v>57.499999999999901</v>
      </c>
      <c r="C1139" s="1" t="s">
        <v>1150</v>
      </c>
      <c r="D1139" s="3">
        <f t="shared" si="125"/>
        <v>1915.46858</v>
      </c>
      <c r="E1139" s="1">
        <v>102.42359999999999</v>
      </c>
      <c r="F1139" s="1">
        <v>27.651299999999999</v>
      </c>
      <c r="G1139" s="1">
        <v>4.6426999999999996</v>
      </c>
      <c r="H1139" s="1">
        <v>7.9310999999999998</v>
      </c>
      <c r="I1139" s="1">
        <v>74.235500000000002</v>
      </c>
      <c r="J1139" s="1">
        <f t="shared" si="121"/>
        <v>70.343403199999997</v>
      </c>
      <c r="K1139" s="1">
        <v>9.6361400000000117</v>
      </c>
      <c r="L1139" s="1">
        <f t="shared" si="122"/>
        <v>62.90483415730337</v>
      </c>
      <c r="M1139" s="1">
        <v>-184.8357</v>
      </c>
      <c r="N1139" s="1">
        <v>-24.381489999999999</v>
      </c>
    </row>
    <row r="1140" spans="1:14" x14ac:dyDescent="0.4">
      <c r="B1140" s="1">
        <v>57.549999999999898</v>
      </c>
      <c r="C1140" s="1" t="s">
        <v>1151</v>
      </c>
      <c r="D1140" s="3">
        <f t="shared" si="125"/>
        <v>1915.4019149999999</v>
      </c>
      <c r="E1140" s="1">
        <v>12.220499999999999</v>
      </c>
      <c r="F1140" s="1">
        <v>55.767099999999999</v>
      </c>
      <c r="G1140" s="1">
        <v>2.1417999999999999</v>
      </c>
      <c r="H1140" s="1">
        <v>1.1553</v>
      </c>
      <c r="I1140" s="1">
        <v>18.281500000000001</v>
      </c>
      <c r="J1140" s="1">
        <f t="shared" si="121"/>
        <v>17.817121</v>
      </c>
      <c r="K1140" s="1">
        <v>12.476859999999988</v>
      </c>
      <c r="L1140" s="1">
        <f t="shared" si="122"/>
        <v>2.2108814606741571</v>
      </c>
      <c r="M1140" s="1">
        <v>-187.37305000000001</v>
      </c>
      <c r="N1140" s="1">
        <v>-24.757439999999999</v>
      </c>
    </row>
    <row r="1141" spans="1:14" x14ac:dyDescent="0.4">
      <c r="B1141" s="1">
        <v>57.599999999999902</v>
      </c>
      <c r="C1141" s="1" t="s">
        <v>1152</v>
      </c>
      <c r="D1141" s="3">
        <f t="shared" si="125"/>
        <v>1915.3352500000001</v>
      </c>
      <c r="E1141" s="1">
        <v>80.556100000000001</v>
      </c>
      <c r="F1141" s="1">
        <v>38.600200000000001</v>
      </c>
      <c r="G1141" s="1">
        <v>58.130099999999999</v>
      </c>
      <c r="H1141" s="1">
        <v>10.282999999999999</v>
      </c>
      <c r="I1141" s="1">
        <v>159.05690000000001</v>
      </c>
      <c r="J1141" s="1">
        <f t="shared" si="121"/>
        <v>155.99576820000001</v>
      </c>
      <c r="K1141" s="1">
        <v>12.297120000000007</v>
      </c>
      <c r="L1141" s="1">
        <f t="shared" si="122"/>
        <v>-7.0819720224719163</v>
      </c>
      <c r="M1141" s="1">
        <v>-189.92204000000001</v>
      </c>
      <c r="N1141" s="1">
        <v>-24.923580000000001</v>
      </c>
    </row>
    <row r="1142" spans="1:14" x14ac:dyDescent="0.4">
      <c r="B1142" s="1">
        <v>57.649999999999899</v>
      </c>
      <c r="C1142" s="1" t="s">
        <v>1153</v>
      </c>
      <c r="D1142" s="3">
        <f t="shared" si="125"/>
        <v>1915.268585</v>
      </c>
      <c r="E1142" s="1">
        <v>23.075299999999999</v>
      </c>
      <c r="F1142" s="1">
        <v>18.4544</v>
      </c>
      <c r="G1142" s="1">
        <v>2.1063000000000001</v>
      </c>
      <c r="H1142" s="1">
        <v>3.3725999999999998</v>
      </c>
      <c r="I1142" s="1">
        <v>29.5855</v>
      </c>
      <c r="J1142" s="1">
        <f t="shared" si="121"/>
        <v>28.7086386</v>
      </c>
      <c r="K1142" s="1">
        <v>10.216219999999993</v>
      </c>
      <c r="L1142" s="1">
        <f t="shared" si="122"/>
        <v>6.9468513483146062</v>
      </c>
      <c r="M1142" s="1">
        <v>-195.39203000000001</v>
      </c>
      <c r="N1142" s="1">
        <v>-25.694320000000001</v>
      </c>
    </row>
    <row r="1143" spans="1:14" x14ac:dyDescent="0.4">
      <c r="B1143" s="1">
        <v>57.699999999999903</v>
      </c>
      <c r="C1143" s="1" t="s">
        <v>1154</v>
      </c>
      <c r="D1143" s="3">
        <f t="shared" si="125"/>
        <v>1915.20192</v>
      </c>
      <c r="E1143" s="1">
        <v>27.6935</v>
      </c>
      <c r="F1143" s="1">
        <v>16.203299999999999</v>
      </c>
      <c r="G1143" s="1">
        <v>3.8344999999999998</v>
      </c>
      <c r="H1143" s="1">
        <v>4.8901000000000003</v>
      </c>
      <c r="I1143" s="1">
        <v>96.459900000000005</v>
      </c>
      <c r="J1143" s="1">
        <f t="shared" si="121"/>
        <v>95.407547000000008</v>
      </c>
      <c r="K1143" s="1">
        <v>10.686469999999986</v>
      </c>
      <c r="L1143" s="1">
        <f t="shared" si="122"/>
        <v>-25.906245505617981</v>
      </c>
      <c r="M1143" s="1">
        <v>-206.10955999999999</v>
      </c>
      <c r="N1143" s="1">
        <v>-27.125699999999998</v>
      </c>
    </row>
    <row r="1144" spans="1:14" x14ac:dyDescent="0.4">
      <c r="B1144" s="1">
        <v>57.749999999999901</v>
      </c>
      <c r="C1144" s="1" t="s">
        <v>1155</v>
      </c>
      <c r="D1144" s="3">
        <f t="shared" si="125"/>
        <v>1915.1352550000001</v>
      </c>
      <c r="E1144" s="1">
        <v>19.0139</v>
      </c>
      <c r="F1144" s="1">
        <v>25.009</v>
      </c>
      <c r="G1144" s="1">
        <v>1.0691999999999999</v>
      </c>
      <c r="H1144" s="1">
        <v>1.9251</v>
      </c>
      <c r="I1144" s="1">
        <v>26.405799999999999</v>
      </c>
      <c r="J1144" s="1">
        <f t="shared" si="121"/>
        <v>25.6832718</v>
      </c>
      <c r="K1144" s="1">
        <v>9.4665999999999997</v>
      </c>
      <c r="L1144" s="1">
        <f t="shared" si="122"/>
        <v>4.5850956179775277</v>
      </c>
      <c r="M1144" s="1">
        <v>-213.37331</v>
      </c>
      <c r="N1144" s="1">
        <v>-27.920860000000001</v>
      </c>
    </row>
    <row r="1145" spans="1:14" x14ac:dyDescent="0.4">
      <c r="B1145" s="1">
        <v>57.799999999999898</v>
      </c>
      <c r="C1145" s="1" t="s">
        <v>1156</v>
      </c>
      <c r="D1145" s="3">
        <f t="shared" si="125"/>
        <v>1915.0685900000001</v>
      </c>
      <c r="E1145" s="1">
        <v>248.06479999999999</v>
      </c>
      <c r="F1145" s="1">
        <v>64.556200000000004</v>
      </c>
      <c r="G1145" s="1">
        <v>64.309299999999993</v>
      </c>
      <c r="H1145" s="1">
        <v>22.2773</v>
      </c>
      <c r="I1145" s="1">
        <v>157.2131</v>
      </c>
      <c r="J1145" s="1">
        <f t="shared" si="121"/>
        <v>147.78663760000001</v>
      </c>
      <c r="K1145" s="1">
        <v>10.162530000000004</v>
      </c>
      <c r="L1145" s="1">
        <f t="shared" si="122"/>
        <v>165.03859910112357</v>
      </c>
      <c r="M1145" s="1">
        <v>-221.22292999999999</v>
      </c>
      <c r="N1145" s="1">
        <v>-28.649149999999999</v>
      </c>
    </row>
    <row r="1146" spans="1:14" x14ac:dyDescent="0.4">
      <c r="A1146" s="1">
        <v>1915</v>
      </c>
      <c r="B1146" s="1">
        <v>57.849999999999902</v>
      </c>
      <c r="C1146" s="1" t="s">
        <v>1157</v>
      </c>
      <c r="D1146" s="3">
        <f>-2.857143*B1146+2080.285714</f>
        <v>1914.9999914500004</v>
      </c>
      <c r="E1146" s="1">
        <v>44.345500000000001</v>
      </c>
      <c r="F1146" s="1">
        <v>15.1778</v>
      </c>
      <c r="G1146" s="1">
        <v>5.4848999999999997</v>
      </c>
      <c r="H1146" s="1">
        <v>4.0762999999999998</v>
      </c>
      <c r="I1146" s="1">
        <v>21.9878</v>
      </c>
      <c r="J1146" s="1">
        <f t="shared" si="121"/>
        <v>20.302671</v>
      </c>
      <c r="K1146" s="1">
        <v>10.896039999999999</v>
      </c>
      <c r="L1146" s="1">
        <f t="shared" si="122"/>
        <v>32.939505056179776</v>
      </c>
      <c r="M1146" s="1">
        <v>-227.12962999999999</v>
      </c>
      <c r="N1146" s="1">
        <v>-29.389119999999998</v>
      </c>
    </row>
    <row r="1147" spans="1:14" x14ac:dyDescent="0.4">
      <c r="B1147" s="1">
        <v>57.8999999999998</v>
      </c>
      <c r="C1147" s="1" t="s">
        <v>1158</v>
      </c>
      <c r="D1147" s="3">
        <f t="shared" ref="D1147:D1152" si="126">-2.857143*B1147+2080.285714</f>
        <v>1914.8571343000008</v>
      </c>
      <c r="E1147" s="1">
        <v>67.431899999999999</v>
      </c>
      <c r="F1147" s="1">
        <v>70.703699999999998</v>
      </c>
      <c r="G1147" s="1">
        <v>22.495699999999999</v>
      </c>
      <c r="H1147" s="1">
        <v>9.73</v>
      </c>
      <c r="I1147" s="1">
        <v>119.1842</v>
      </c>
      <c r="J1147" s="1">
        <f t="shared" si="121"/>
        <v>116.62178780000001</v>
      </c>
      <c r="K1147" s="1">
        <v>9.9935700000000054</v>
      </c>
      <c r="L1147" s="1">
        <f t="shared" si="122"/>
        <v>1.9140416853932578</v>
      </c>
      <c r="M1147" s="1">
        <v>-230.73015000000001</v>
      </c>
      <c r="N1147" s="1">
        <v>-29.781389999999998</v>
      </c>
    </row>
    <row r="1148" spans="1:14" x14ac:dyDescent="0.4">
      <c r="B1148" s="1">
        <v>57.949999999999797</v>
      </c>
      <c r="C1148" s="1" t="s">
        <v>1159</v>
      </c>
      <c r="D1148" s="3">
        <f t="shared" si="126"/>
        <v>1914.7142771500007</v>
      </c>
      <c r="E1148" s="1">
        <v>132.5643</v>
      </c>
      <c r="F1148" s="1">
        <v>41.479199999999999</v>
      </c>
      <c r="G1148" s="1">
        <v>8.9746000000000006</v>
      </c>
      <c r="H1148" s="1">
        <v>14.856400000000001</v>
      </c>
      <c r="I1148" s="1">
        <v>20.533799999999999</v>
      </c>
      <c r="J1148" s="1">
        <f t="shared" si="121"/>
        <v>15.496356599999999</v>
      </c>
      <c r="K1148" s="1">
        <v>7.9702699999999993</v>
      </c>
      <c r="L1148" s="1">
        <f t="shared" si="122"/>
        <v>123.85848168539326</v>
      </c>
      <c r="M1148" s="1">
        <v>-232.99829</v>
      </c>
      <c r="N1148" s="1">
        <v>-30.251809999999999</v>
      </c>
    </row>
    <row r="1149" spans="1:14" x14ac:dyDescent="0.4">
      <c r="B1149" s="1">
        <v>57.999999999999801</v>
      </c>
      <c r="C1149" s="1" t="s">
        <v>1160</v>
      </c>
      <c r="D1149" s="3">
        <f t="shared" si="126"/>
        <v>1914.5714200000007</v>
      </c>
      <c r="E1149" s="1">
        <v>296.0462</v>
      </c>
      <c r="F1149" s="1">
        <v>29.192799999999998</v>
      </c>
      <c r="G1149" s="1">
        <v>15.723000000000001</v>
      </c>
      <c r="H1149" s="1">
        <v>28.7149</v>
      </c>
      <c r="I1149" s="1">
        <v>109.4132</v>
      </c>
      <c r="J1149" s="1">
        <f t="shared" si="121"/>
        <v>98.163444400000003</v>
      </c>
      <c r="K1149" s="1">
        <v>7.9833299999999952</v>
      </c>
      <c r="L1149" s="1">
        <f t="shared" si="122"/>
        <v>240.8981975280899</v>
      </c>
      <c r="M1149" s="1">
        <v>-236.73197999999999</v>
      </c>
      <c r="N1149" s="1">
        <v>-30.728829999999999</v>
      </c>
    </row>
    <row r="1150" spans="1:14" x14ac:dyDescent="0.4">
      <c r="A1150" s="5"/>
      <c r="B1150" s="1">
        <v>58.049999999999798</v>
      </c>
      <c r="C1150" s="1" t="s">
        <v>1161</v>
      </c>
      <c r="D1150" s="3">
        <f t="shared" si="126"/>
        <v>1914.4285628500006</v>
      </c>
      <c r="E1150" s="1">
        <v>119.9598</v>
      </c>
      <c r="F1150" s="1">
        <v>59.529299999999999</v>
      </c>
      <c r="G1150" s="1">
        <v>10.1654</v>
      </c>
      <c r="H1150" s="1">
        <v>16.837</v>
      </c>
      <c r="I1150" s="1">
        <v>32.516599999999997</v>
      </c>
      <c r="J1150" s="1">
        <f t="shared" si="121"/>
        <v>27.958127599999997</v>
      </c>
      <c r="K1150" s="1">
        <v>7.5209699999999771</v>
      </c>
      <c r="L1150" s="1">
        <f t="shared" si="122"/>
        <v>104.25298674157304</v>
      </c>
      <c r="M1150" s="1">
        <v>-242.86070000000001</v>
      </c>
      <c r="N1150" s="1">
        <v>-31.27028</v>
      </c>
    </row>
    <row r="1151" spans="1:14" x14ac:dyDescent="0.4">
      <c r="A1151" s="5"/>
      <c r="B1151" s="1">
        <v>58.099999999999802</v>
      </c>
      <c r="C1151" s="1" t="s">
        <v>1162</v>
      </c>
      <c r="D1151" s="3">
        <f t="shared" si="126"/>
        <v>1914.2857057000006</v>
      </c>
      <c r="E1151" s="1">
        <v>54.2971</v>
      </c>
      <c r="F1151" s="1">
        <v>18.2531</v>
      </c>
      <c r="G1151" s="1">
        <v>2.3662999999999998</v>
      </c>
      <c r="H1151" s="1">
        <v>11.585800000000001</v>
      </c>
      <c r="I1151" s="1">
        <v>44.881900000000002</v>
      </c>
      <c r="J1151" s="1">
        <f t="shared" si="121"/>
        <v>42.818610200000002</v>
      </c>
      <c r="K1151" s="1">
        <v>9.0161899999999946</v>
      </c>
      <c r="L1151" s="1">
        <f t="shared" si="122"/>
        <v>30.241701011235953</v>
      </c>
      <c r="M1151" s="1">
        <v>-243.03540000000001</v>
      </c>
      <c r="N1151" s="1">
        <v>-31.265029999999999</v>
      </c>
    </row>
    <row r="1152" spans="1:14" x14ac:dyDescent="0.4">
      <c r="A1152" s="5"/>
      <c r="B1152" s="1">
        <v>58.1499999999998</v>
      </c>
      <c r="C1152" s="1" t="s">
        <v>1163</v>
      </c>
      <c r="D1152" s="3">
        <f t="shared" si="126"/>
        <v>1914.1428485500007</v>
      </c>
      <c r="E1152" s="1">
        <v>35.846699999999998</v>
      </c>
      <c r="F1152" s="1">
        <v>48.5764</v>
      </c>
      <c r="G1152" s="1">
        <v>4.3316999999999997</v>
      </c>
      <c r="H1152" s="1">
        <v>4.1787000000000001</v>
      </c>
      <c r="I1152" s="1">
        <v>23.318999999999999</v>
      </c>
      <c r="J1152" s="1">
        <f t="shared" si="121"/>
        <v>21.9568254</v>
      </c>
      <c r="K1152" s="1">
        <v>9.0986599999999953</v>
      </c>
      <c r="L1152" s="1">
        <f t="shared" si="122"/>
        <v>23.511404831460673</v>
      </c>
      <c r="M1152" s="1">
        <v>-240.91636</v>
      </c>
      <c r="N1152" s="1">
        <v>-31.166090000000001</v>
      </c>
    </row>
    <row r="1153" spans="1:14" x14ac:dyDescent="0.4">
      <c r="A1153" s="5">
        <v>1914</v>
      </c>
      <c r="B1153" s="1">
        <v>58.199999999999797</v>
      </c>
      <c r="C1153" s="1" t="s">
        <v>1164</v>
      </c>
      <c r="D1153" s="3">
        <f>-1.428571*B1153+1997.142857</f>
        <v>1914.0000248000003</v>
      </c>
      <c r="E1153" s="1">
        <v>26.839099999999998</v>
      </c>
      <c r="F1153" s="1">
        <v>26.9009</v>
      </c>
      <c r="G1153" s="1">
        <v>2.3852000000000002</v>
      </c>
      <c r="H1153" s="1">
        <v>4.6345999999999998</v>
      </c>
      <c r="I1153" s="1">
        <v>60.349899999999998</v>
      </c>
      <c r="J1153" s="1">
        <f t="shared" si="121"/>
        <v>59.330014200000001</v>
      </c>
      <c r="K1153" s="1">
        <v>7.3015399999999886</v>
      </c>
      <c r="L1153" s="1">
        <f t="shared" si="122"/>
        <v>-6.4923686516853927</v>
      </c>
      <c r="M1153" s="1">
        <v>-231.71514999999999</v>
      </c>
      <c r="N1153" s="1">
        <v>-30.200050000000001</v>
      </c>
    </row>
    <row r="1154" spans="1:14" x14ac:dyDescent="0.4">
      <c r="A1154" s="5"/>
      <c r="B1154" s="1">
        <v>58.249999999999801</v>
      </c>
      <c r="C1154" s="1" t="s">
        <v>1165</v>
      </c>
      <c r="D1154" s="3">
        <f t="shared" ref="D1154:D1166" si="127">-1.428571*B1154+1997.142857</f>
        <v>1913.9285962500003</v>
      </c>
      <c r="E1154" s="1">
        <v>34.806399999999996</v>
      </c>
      <c r="F1154" s="1">
        <v>17.214600000000001</v>
      </c>
      <c r="G1154" s="1">
        <v>6.1220999999999997</v>
      </c>
      <c r="H1154" s="1">
        <v>2.9651000000000001</v>
      </c>
      <c r="I1154" s="1">
        <v>17.7636</v>
      </c>
      <c r="J1154" s="1">
        <f t="shared" si="121"/>
        <v>16.440956800000002</v>
      </c>
      <c r="K1154" s="1">
        <v>7.0848399999999856</v>
      </c>
      <c r="L1154" s="1">
        <f t="shared" si="122"/>
        <v>25.569907415730334</v>
      </c>
      <c r="M1154" s="1">
        <v>-231.00582</v>
      </c>
      <c r="N1154" s="1">
        <v>-29.917490000000001</v>
      </c>
    </row>
    <row r="1155" spans="1:14" x14ac:dyDescent="0.4">
      <c r="A1155" s="5"/>
      <c r="B1155" s="1">
        <v>58.299999999999798</v>
      </c>
      <c r="C1155" s="1" t="s">
        <v>1166</v>
      </c>
      <c r="D1155" s="3">
        <f t="shared" si="127"/>
        <v>1913.8571677000004</v>
      </c>
      <c r="E1155" s="1">
        <v>134.69040000000001</v>
      </c>
      <c r="F1155" s="1">
        <v>40.6813</v>
      </c>
      <c r="G1155" s="1">
        <v>12.533899999999999</v>
      </c>
      <c r="H1155" s="1">
        <v>19.127700000000001</v>
      </c>
      <c r="I1155" s="1">
        <v>167.3895</v>
      </c>
      <c r="J1155" s="1">
        <f t="shared" ref="J1155:J1218" si="128">I1155-0.038*E1155</f>
        <v>162.27126480000001</v>
      </c>
      <c r="K1155" s="1">
        <v>8.4123600000000067</v>
      </c>
      <c r="L1155" s="1">
        <f t="shared" ref="L1155:L1218" si="129">E1155-(J1155/1.78)</f>
        <v>43.526768089887653</v>
      </c>
      <c r="M1155" s="1">
        <v>-239.39572000000001</v>
      </c>
      <c r="N1155" s="1">
        <v>-31.002590000000001</v>
      </c>
    </row>
    <row r="1156" spans="1:14" x14ac:dyDescent="0.4">
      <c r="A1156" s="5"/>
      <c r="B1156" s="1">
        <v>58.349999999999802</v>
      </c>
      <c r="C1156" s="1" t="s">
        <v>1167</v>
      </c>
      <c r="D1156" s="3">
        <f t="shared" si="127"/>
        <v>1913.7857391500004</v>
      </c>
      <c r="E1156" s="1">
        <v>100.8927</v>
      </c>
      <c r="F1156" s="1">
        <v>43.903500000000001</v>
      </c>
      <c r="G1156" s="1">
        <v>10.582800000000001</v>
      </c>
      <c r="H1156" s="1">
        <v>4.7229999999999999</v>
      </c>
      <c r="I1156" s="1">
        <v>31.002600000000001</v>
      </c>
      <c r="J1156" s="1">
        <f t="shared" si="128"/>
        <v>27.1686774</v>
      </c>
      <c r="K1156" s="1">
        <v>9.8852500000000134</v>
      </c>
      <c r="L1156" s="1">
        <f t="shared" si="129"/>
        <v>85.629398089887644</v>
      </c>
      <c r="M1156" s="1">
        <v>-246.91389000000001</v>
      </c>
      <c r="N1156" s="1">
        <v>-31.986550000000001</v>
      </c>
    </row>
    <row r="1157" spans="1:14" x14ac:dyDescent="0.4">
      <c r="A1157" s="5"/>
      <c r="B1157" s="1">
        <v>58.3999999999998</v>
      </c>
      <c r="C1157" s="1" t="s">
        <v>1168</v>
      </c>
      <c r="D1157" s="3">
        <f t="shared" si="127"/>
        <v>1913.7143106000003</v>
      </c>
      <c r="E1157" s="1">
        <v>34.318100000000001</v>
      </c>
      <c r="F1157" s="1">
        <v>9.9832999999999998</v>
      </c>
      <c r="G1157" s="1">
        <v>2.5647000000000002</v>
      </c>
      <c r="H1157" s="1">
        <v>9.3264999999999993</v>
      </c>
      <c r="I1157" s="1">
        <v>76.373800000000003</v>
      </c>
      <c r="J1157" s="1">
        <f t="shared" si="128"/>
        <v>75.069712199999998</v>
      </c>
      <c r="K1157" s="1">
        <v>8.3341000000000065</v>
      </c>
      <c r="L1157" s="1">
        <f t="shared" si="129"/>
        <v>-7.8558956179775237</v>
      </c>
      <c r="M1157" s="1">
        <v>-251.15752000000001</v>
      </c>
      <c r="N1157" s="1">
        <v>-32.242930000000001</v>
      </c>
    </row>
    <row r="1158" spans="1:14" x14ac:dyDescent="0.4">
      <c r="A1158" s="5"/>
      <c r="B1158" s="1">
        <v>58.449999999999797</v>
      </c>
      <c r="C1158" s="1" t="s">
        <v>1169</v>
      </c>
      <c r="D1158" s="3">
        <f t="shared" si="127"/>
        <v>1913.6428820500003</v>
      </c>
      <c r="E1158" s="1">
        <v>22.8216</v>
      </c>
      <c r="F1158" s="1">
        <v>35.162399999999998</v>
      </c>
      <c r="G1158" s="1">
        <v>5.2934999999999999</v>
      </c>
      <c r="H1158" s="1">
        <v>3.0165999999999999</v>
      </c>
      <c r="I1158" s="1">
        <v>24.296399999999998</v>
      </c>
      <c r="J1158" s="1">
        <f t="shared" si="128"/>
        <v>23.4291792</v>
      </c>
      <c r="K1158" s="1">
        <v>8.625</v>
      </c>
      <c r="L1158" s="1">
        <f t="shared" si="129"/>
        <v>9.6591397752808987</v>
      </c>
      <c r="M1158" s="1">
        <v>-252.18781000000001</v>
      </c>
      <c r="N1158" s="1">
        <v>-32.124540000000003</v>
      </c>
    </row>
    <row r="1159" spans="1:14" x14ac:dyDescent="0.4">
      <c r="A1159" s="5"/>
      <c r="B1159" s="1">
        <v>58.499999999999801</v>
      </c>
      <c r="C1159" s="1" t="s">
        <v>1170</v>
      </c>
      <c r="D1159" s="3">
        <f t="shared" si="127"/>
        <v>1913.5714535000004</v>
      </c>
      <c r="E1159" s="1">
        <v>63.737200000000001</v>
      </c>
      <c r="F1159" s="1">
        <v>18.253599999999999</v>
      </c>
      <c r="G1159" s="1">
        <v>2.9639000000000002</v>
      </c>
      <c r="H1159" s="1">
        <v>7.3714000000000004</v>
      </c>
      <c r="I1159" s="1">
        <v>41.916699999999999</v>
      </c>
      <c r="J1159" s="1">
        <f t="shared" si="128"/>
        <v>39.494686399999999</v>
      </c>
      <c r="K1159" s="1">
        <v>8.97851</v>
      </c>
      <c r="L1159" s="1">
        <f t="shared" si="129"/>
        <v>41.549173932584267</v>
      </c>
      <c r="M1159" s="1">
        <v>-248.34099000000001</v>
      </c>
      <c r="N1159" s="1">
        <v>-31.823789999999999</v>
      </c>
    </row>
    <row r="1160" spans="1:14" x14ac:dyDescent="0.4">
      <c r="A1160" s="5"/>
      <c r="B1160" s="1">
        <v>58.549999999999798</v>
      </c>
      <c r="C1160" s="1" t="s">
        <v>1171</v>
      </c>
      <c r="D1160" s="3">
        <f t="shared" si="127"/>
        <v>1913.5000249500004</v>
      </c>
      <c r="E1160" s="1">
        <v>68.406400000000005</v>
      </c>
      <c r="F1160" s="1">
        <v>25.790400000000002</v>
      </c>
      <c r="G1160" s="1">
        <v>11.805400000000001</v>
      </c>
      <c r="H1160" s="1">
        <v>6.8316999999999997</v>
      </c>
      <c r="I1160" s="1">
        <v>14.963699999999999</v>
      </c>
      <c r="J1160" s="1">
        <f t="shared" si="128"/>
        <v>12.3642568</v>
      </c>
      <c r="K1160" s="1">
        <v>6.7859200000000044</v>
      </c>
      <c r="L1160" s="1">
        <f t="shared" si="129"/>
        <v>61.460188314606746</v>
      </c>
      <c r="M1160" s="1">
        <v>-244.82925</v>
      </c>
      <c r="N1160" s="1">
        <v>-31.471889999999998</v>
      </c>
    </row>
    <row r="1161" spans="1:14" x14ac:dyDescent="0.4">
      <c r="B1161" s="1">
        <v>58.599999999999802</v>
      </c>
      <c r="C1161" s="1" t="s">
        <v>1172</v>
      </c>
      <c r="D1161" s="3">
        <f t="shared" si="127"/>
        <v>1913.4285964000003</v>
      </c>
      <c r="E1161" s="1">
        <v>172.08240000000001</v>
      </c>
      <c r="F1161" s="1">
        <v>42.059399999999997</v>
      </c>
      <c r="G1161" s="1">
        <v>17.150700000000001</v>
      </c>
      <c r="H1161" s="1">
        <v>23.402899999999999</v>
      </c>
      <c r="I1161" s="1">
        <v>78.781199999999998</v>
      </c>
      <c r="J1161" s="1">
        <f t="shared" si="128"/>
        <v>72.242068799999998</v>
      </c>
      <c r="K1161" s="1">
        <v>4.8085100000000125</v>
      </c>
      <c r="L1161" s="1">
        <f t="shared" si="129"/>
        <v>131.49696808988764</v>
      </c>
      <c r="M1161" s="1">
        <v>-240.61366000000001</v>
      </c>
      <c r="N1161" s="1">
        <v>-31.028199999999998</v>
      </c>
    </row>
    <row r="1162" spans="1:14" x14ac:dyDescent="0.4">
      <c r="A1162" s="5"/>
      <c r="B1162" s="1">
        <v>58.6499999999998</v>
      </c>
      <c r="C1162" s="1" t="s">
        <v>1173</v>
      </c>
      <c r="D1162" s="3">
        <f t="shared" si="127"/>
        <v>1913.3571678500002</v>
      </c>
      <c r="E1162" s="1">
        <v>75.496799999999993</v>
      </c>
      <c r="F1162" s="1">
        <v>38.898899999999998</v>
      </c>
      <c r="G1162" s="1">
        <v>10.8035</v>
      </c>
      <c r="H1162" s="1">
        <v>6.1032000000000002</v>
      </c>
      <c r="I1162" s="1">
        <v>22.8005</v>
      </c>
      <c r="J1162" s="1">
        <f t="shared" si="128"/>
        <v>19.9316216</v>
      </c>
      <c r="K1162" s="1">
        <v>6.2493299999999863</v>
      </c>
      <c r="L1162" s="1">
        <f t="shared" si="129"/>
        <v>64.299259775280888</v>
      </c>
      <c r="M1162" s="1">
        <v>-240.96467999999999</v>
      </c>
      <c r="N1162" s="1">
        <v>-31.22296</v>
      </c>
    </row>
    <row r="1163" spans="1:14" x14ac:dyDescent="0.4">
      <c r="B1163" s="1">
        <v>58.699999999999797</v>
      </c>
      <c r="C1163" s="1" t="s">
        <v>1174</v>
      </c>
      <c r="D1163" s="3">
        <f t="shared" si="127"/>
        <v>1913.2857393000004</v>
      </c>
      <c r="E1163" s="1">
        <v>27.341999999999999</v>
      </c>
      <c r="F1163" s="1">
        <v>25.395900000000001</v>
      </c>
      <c r="G1163" s="1">
        <v>3.2717000000000001</v>
      </c>
      <c r="H1163" s="1">
        <v>3.1905000000000001</v>
      </c>
      <c r="I1163" s="1">
        <v>36.258200000000002</v>
      </c>
      <c r="J1163" s="1">
        <f t="shared" si="128"/>
        <v>35.219204000000005</v>
      </c>
      <c r="K1163" s="1">
        <v>6.9458699999999851</v>
      </c>
      <c r="L1163" s="1">
        <f t="shared" si="129"/>
        <v>7.5559303370786495</v>
      </c>
      <c r="M1163" s="1">
        <v>-242.80336</v>
      </c>
      <c r="N1163" s="1">
        <v>-31.34272</v>
      </c>
    </row>
    <row r="1164" spans="1:14" x14ac:dyDescent="0.4">
      <c r="A1164" s="5"/>
      <c r="B1164" s="1">
        <v>58.749999999999801</v>
      </c>
      <c r="C1164" s="1" t="s">
        <v>1175</v>
      </c>
      <c r="D1164" s="3">
        <f t="shared" si="127"/>
        <v>1913.2143107500003</v>
      </c>
      <c r="E1164" s="1">
        <v>21.059200000000001</v>
      </c>
      <c r="F1164" s="1">
        <v>34.859400000000001</v>
      </c>
      <c r="G1164" s="1">
        <v>5.4657</v>
      </c>
      <c r="H1164" s="1">
        <v>2.0276000000000001</v>
      </c>
      <c r="I1164" s="1">
        <v>27.993200000000002</v>
      </c>
      <c r="J1164" s="1">
        <f t="shared" si="128"/>
        <v>27.192950400000001</v>
      </c>
      <c r="K1164" s="1">
        <v>7.6119399999999757</v>
      </c>
      <c r="L1164" s="1">
        <f t="shared" si="129"/>
        <v>5.7822615730337077</v>
      </c>
      <c r="M1164" s="1">
        <v>-244.49331000000001</v>
      </c>
      <c r="N1164" s="1">
        <v>-31.565639999999998</v>
      </c>
    </row>
    <row r="1165" spans="1:14" x14ac:dyDescent="0.4">
      <c r="B1165" s="1">
        <v>58.799999999999798</v>
      </c>
      <c r="C1165" s="1" t="s">
        <v>1176</v>
      </c>
      <c r="D1165" s="3">
        <f t="shared" si="127"/>
        <v>1913.1428822000003</v>
      </c>
      <c r="E1165" s="1">
        <v>17.422599999999999</v>
      </c>
      <c r="F1165" s="1">
        <v>6.9122000000000003</v>
      </c>
      <c r="G1165" s="1">
        <v>2.4792999999999998</v>
      </c>
      <c r="H1165" s="1">
        <v>6.1962000000000002</v>
      </c>
      <c r="I1165" s="1">
        <v>47.174799999999998</v>
      </c>
      <c r="J1165" s="1">
        <f t="shared" si="128"/>
        <v>46.512741200000001</v>
      </c>
      <c r="K1165" s="1">
        <v>8.8190000000000168</v>
      </c>
      <c r="L1165" s="1">
        <f t="shared" si="129"/>
        <v>-8.7081534831460665</v>
      </c>
      <c r="M1165" s="1">
        <v>-244.07123000000001</v>
      </c>
      <c r="N1165" s="1">
        <v>-31.78349</v>
      </c>
    </row>
    <row r="1166" spans="1:14" x14ac:dyDescent="0.4">
      <c r="A1166" s="5"/>
      <c r="B1166" s="1">
        <v>58.849999999999802</v>
      </c>
      <c r="C1166" s="1" t="s">
        <v>1177</v>
      </c>
      <c r="D1166" s="3">
        <f t="shared" si="127"/>
        <v>1913.0714536500004</v>
      </c>
      <c r="E1166" s="1">
        <v>62.584899999999998</v>
      </c>
      <c r="F1166" s="1">
        <v>14.0344</v>
      </c>
      <c r="G1166" s="1">
        <v>14.359400000000001</v>
      </c>
      <c r="H1166" s="1">
        <v>5.8639999999999999</v>
      </c>
      <c r="I1166" s="1">
        <v>44.066600000000001</v>
      </c>
      <c r="J1166" s="1">
        <f t="shared" si="128"/>
        <v>41.688373800000001</v>
      </c>
      <c r="K1166" s="1">
        <v>7.9384000000000015</v>
      </c>
      <c r="L1166" s="1">
        <f t="shared" si="129"/>
        <v>39.164465280898874</v>
      </c>
      <c r="M1166" s="1">
        <v>-247.45352</v>
      </c>
      <c r="N1166" s="1">
        <v>-32.19021</v>
      </c>
    </row>
    <row r="1167" spans="1:14" x14ac:dyDescent="0.4">
      <c r="A1167" s="1">
        <v>1913</v>
      </c>
      <c r="B1167" s="1">
        <v>58.8999999999998</v>
      </c>
      <c r="C1167" s="1" t="s">
        <v>1178</v>
      </c>
      <c r="D1167" s="3">
        <f>-1.818182*B1167+2020.090909</f>
        <v>1912.9999892000003</v>
      </c>
      <c r="E1167" s="1">
        <v>34.507800000000003</v>
      </c>
      <c r="F1167" s="1">
        <v>35.274799999999999</v>
      </c>
      <c r="G1167" s="1">
        <v>6.5381</v>
      </c>
      <c r="H1167" s="1">
        <v>4.5037000000000003</v>
      </c>
      <c r="I1167" s="1">
        <v>98.557000000000002</v>
      </c>
      <c r="J1167" s="1">
        <f t="shared" si="128"/>
        <v>97.245703599999999</v>
      </c>
      <c r="K1167" s="1">
        <v>8.0318099999999788</v>
      </c>
      <c r="L1167" s="1">
        <f t="shared" si="129"/>
        <v>-20.124617752808987</v>
      </c>
      <c r="M1167" s="1">
        <v>-248.76586</v>
      </c>
      <c r="N1167" s="1">
        <v>-32.20335</v>
      </c>
    </row>
    <row r="1168" spans="1:14" x14ac:dyDescent="0.4">
      <c r="A1168" s="5"/>
      <c r="B1168" s="1">
        <v>58.949999999999797</v>
      </c>
      <c r="C1168" s="1" t="s">
        <v>1179</v>
      </c>
      <c r="D1168" s="3">
        <f t="shared" ref="D1168:D1177" si="130">-1.818182*B1168+2020.090909</f>
        <v>1912.9090801000004</v>
      </c>
      <c r="E1168" s="1">
        <v>32.774299999999997</v>
      </c>
      <c r="F1168" s="1">
        <v>51.556100000000001</v>
      </c>
      <c r="G1168" s="1">
        <v>9.5803999999999991</v>
      </c>
      <c r="H1168" s="1">
        <v>3.4348999999999998</v>
      </c>
      <c r="I1168" s="1">
        <v>31.056999999999999</v>
      </c>
      <c r="J1168" s="1">
        <f t="shared" si="128"/>
        <v>29.811576599999999</v>
      </c>
      <c r="K1168" s="1">
        <v>10.19668999999999</v>
      </c>
      <c r="L1168" s="1">
        <f t="shared" si="129"/>
        <v>16.026223258426963</v>
      </c>
      <c r="M1168" s="1">
        <v>-252.05036000000001</v>
      </c>
      <c r="N1168" s="1">
        <v>-32.42456</v>
      </c>
    </row>
    <row r="1169" spans="1:14" x14ac:dyDescent="0.4">
      <c r="B1169" s="1">
        <v>58.999999999999801</v>
      </c>
      <c r="C1169" s="1" t="s">
        <v>1180</v>
      </c>
      <c r="D1169" s="3">
        <f t="shared" si="130"/>
        <v>1912.8181710000003</v>
      </c>
      <c r="E1169" s="1">
        <v>13.267099999999999</v>
      </c>
      <c r="F1169" s="1">
        <v>26.093299999999999</v>
      </c>
      <c r="G1169" s="1">
        <v>3.5581999999999998</v>
      </c>
      <c r="H1169" s="1">
        <v>2.8144999999999998</v>
      </c>
      <c r="I1169" s="1">
        <v>31.3948</v>
      </c>
      <c r="J1169" s="1">
        <f t="shared" si="128"/>
        <v>30.8906502</v>
      </c>
      <c r="K1169" s="1">
        <v>10.068160000000006</v>
      </c>
      <c r="L1169" s="1">
        <f t="shared" si="129"/>
        <v>-4.087197865168541</v>
      </c>
      <c r="M1169" s="1">
        <v>-248.42395999999999</v>
      </c>
      <c r="N1169" s="1">
        <v>-32.059249999999999</v>
      </c>
    </row>
    <row r="1170" spans="1:14" x14ac:dyDescent="0.4">
      <c r="A1170" s="5"/>
      <c r="B1170" s="1">
        <v>59.049999999999798</v>
      </c>
      <c r="C1170" s="1" t="s">
        <v>1181</v>
      </c>
      <c r="D1170" s="3">
        <f t="shared" si="130"/>
        <v>1912.7272619000005</v>
      </c>
      <c r="E1170" s="1">
        <v>15.8909</v>
      </c>
      <c r="F1170" s="1">
        <v>61.375999999999998</v>
      </c>
      <c r="G1170" s="1">
        <v>5.0418000000000003</v>
      </c>
      <c r="H1170" s="1">
        <v>2.0004</v>
      </c>
      <c r="I1170" s="1">
        <v>21.0185</v>
      </c>
      <c r="J1170" s="1">
        <f t="shared" si="128"/>
        <v>20.414645799999999</v>
      </c>
      <c r="K1170" s="1">
        <v>8.8609399999999994</v>
      </c>
      <c r="L1170" s="1">
        <f t="shared" si="129"/>
        <v>4.4219978651685405</v>
      </c>
      <c r="M1170" s="1">
        <v>-244.62658999999999</v>
      </c>
      <c r="N1170" s="1">
        <v>-31.483139999999999</v>
      </c>
    </row>
    <row r="1171" spans="1:14" x14ac:dyDescent="0.4">
      <c r="B1171" s="1">
        <v>59.099999999999802</v>
      </c>
      <c r="C1171" s="1" t="s">
        <v>1182</v>
      </c>
      <c r="D1171" s="3">
        <f t="shared" si="130"/>
        <v>1912.6363528000004</v>
      </c>
      <c r="E1171" s="1">
        <v>37.802999999999997</v>
      </c>
      <c r="F1171" s="1">
        <v>20.381399999999999</v>
      </c>
      <c r="G1171" s="1">
        <v>1.6133999999999999</v>
      </c>
      <c r="H1171" s="1">
        <v>5.5418000000000003</v>
      </c>
      <c r="I1171" s="1">
        <v>36.695</v>
      </c>
      <c r="J1171" s="1">
        <f t="shared" si="128"/>
        <v>35.258485999999998</v>
      </c>
      <c r="K1171" s="1">
        <v>7.3461199999999849</v>
      </c>
      <c r="L1171" s="1">
        <f t="shared" si="129"/>
        <v>17.994861797752808</v>
      </c>
      <c r="M1171" s="1">
        <v>-240.48262</v>
      </c>
      <c r="N1171" s="1">
        <v>-30.738700000000001</v>
      </c>
    </row>
    <row r="1172" spans="1:14" x14ac:dyDescent="0.4">
      <c r="A1172" s="5"/>
      <c r="B1172" s="1">
        <v>59.1499999999998</v>
      </c>
      <c r="C1172" s="1" t="s">
        <v>1183</v>
      </c>
      <c r="D1172" s="3">
        <f t="shared" si="130"/>
        <v>1912.5454437000003</v>
      </c>
      <c r="E1172" s="1">
        <v>30.804500000000001</v>
      </c>
      <c r="F1172" s="1">
        <v>45.300199999999997</v>
      </c>
      <c r="G1172" s="1">
        <v>19.3018</v>
      </c>
      <c r="H1172" s="1">
        <v>1.6465000000000001</v>
      </c>
      <c r="I1172" s="1">
        <v>28.966799999999999</v>
      </c>
      <c r="J1172" s="1">
        <f t="shared" si="128"/>
        <v>27.796229</v>
      </c>
      <c r="K1172" s="1">
        <v>8.0500399999999956</v>
      </c>
      <c r="L1172" s="1">
        <f t="shared" si="129"/>
        <v>15.188641011235957</v>
      </c>
      <c r="M1172" s="1">
        <v>-235.92272</v>
      </c>
      <c r="N1172" s="1">
        <v>-30.4238</v>
      </c>
    </row>
    <row r="1173" spans="1:14" x14ac:dyDescent="0.4">
      <c r="B1173" s="1">
        <v>59.199999999999797</v>
      </c>
      <c r="C1173" s="1" t="s">
        <v>1184</v>
      </c>
      <c r="D1173" s="3">
        <f t="shared" si="130"/>
        <v>1912.4545346000004</v>
      </c>
      <c r="E1173" s="1">
        <v>87.3917</v>
      </c>
      <c r="F1173" s="1">
        <v>24.1538</v>
      </c>
      <c r="G1173" s="1">
        <v>11.7158</v>
      </c>
      <c r="H1173" s="1">
        <v>9.6132000000000009</v>
      </c>
      <c r="I1173" s="1">
        <v>30.142600000000002</v>
      </c>
      <c r="J1173" s="1">
        <f t="shared" si="128"/>
        <v>26.821715400000002</v>
      </c>
      <c r="K1173" s="1">
        <v>7.2385299999999972</v>
      </c>
      <c r="L1173" s="1">
        <f t="shared" si="129"/>
        <v>72.323320561797757</v>
      </c>
      <c r="M1173" s="1">
        <v>-230.71012999999999</v>
      </c>
      <c r="N1173" s="1">
        <v>-29.869140000000002</v>
      </c>
    </row>
    <row r="1174" spans="1:14" x14ac:dyDescent="0.4">
      <c r="A1174" s="5"/>
      <c r="B1174" s="1">
        <v>59.249999999999801</v>
      </c>
      <c r="C1174" s="1" t="s">
        <v>1185</v>
      </c>
      <c r="D1174" s="3">
        <f t="shared" si="130"/>
        <v>1912.3636255000004</v>
      </c>
      <c r="E1174" s="1">
        <v>27.680800000000001</v>
      </c>
      <c r="F1174" s="1">
        <v>46.268900000000002</v>
      </c>
      <c r="G1174" s="1">
        <v>9.8077000000000005</v>
      </c>
      <c r="H1174" s="1">
        <v>1.8551</v>
      </c>
      <c r="I1174" s="1">
        <v>16.473299999999998</v>
      </c>
      <c r="J1174" s="1">
        <f t="shared" si="128"/>
        <v>15.421429599999998</v>
      </c>
      <c r="K1174" s="1">
        <v>5.4269800000000146</v>
      </c>
      <c r="L1174" s="1">
        <f t="shared" si="129"/>
        <v>19.017075505617981</v>
      </c>
      <c r="M1174" s="1">
        <v>-218.76407</v>
      </c>
      <c r="N1174" s="1">
        <v>-28.344950000000001</v>
      </c>
    </row>
    <row r="1175" spans="1:14" x14ac:dyDescent="0.4">
      <c r="B1175" s="1">
        <v>59.299999999999798</v>
      </c>
      <c r="C1175" s="1" t="s">
        <v>1186</v>
      </c>
      <c r="D1175" s="3">
        <f t="shared" si="130"/>
        <v>1912.2727164000003</v>
      </c>
      <c r="E1175" s="1">
        <v>47.109400000000001</v>
      </c>
      <c r="F1175" s="1">
        <v>20.755600000000001</v>
      </c>
      <c r="G1175" s="1">
        <v>7.6783000000000001</v>
      </c>
      <c r="H1175" s="1">
        <v>7.2084999999999999</v>
      </c>
      <c r="I1175" s="1">
        <v>36.554400000000001</v>
      </c>
      <c r="J1175" s="1">
        <f t="shared" si="128"/>
        <v>34.764242799999998</v>
      </c>
      <c r="K1175" s="1">
        <v>7.4676800000000014</v>
      </c>
      <c r="L1175" s="1">
        <f t="shared" si="129"/>
        <v>27.578926516853933</v>
      </c>
      <c r="M1175" s="1">
        <v>-217.25679</v>
      </c>
      <c r="N1175" s="1">
        <v>-28.347629999999999</v>
      </c>
    </row>
    <row r="1176" spans="1:14" x14ac:dyDescent="0.4">
      <c r="A1176" s="5"/>
      <c r="B1176" s="1">
        <v>59.349999999999802</v>
      </c>
      <c r="C1176" s="1" t="s">
        <v>1187</v>
      </c>
      <c r="D1176" s="3">
        <f t="shared" si="130"/>
        <v>1912.1818073000004</v>
      </c>
      <c r="E1176" s="1">
        <v>71.667500000000004</v>
      </c>
      <c r="F1176" s="1">
        <v>22.753499999999999</v>
      </c>
      <c r="G1176" s="1">
        <v>10.318300000000001</v>
      </c>
      <c r="H1176" s="1">
        <v>3.7932000000000001</v>
      </c>
      <c r="I1176" s="1">
        <v>11.3443</v>
      </c>
      <c r="J1176" s="1">
        <f t="shared" si="128"/>
        <v>8.6209349999999993</v>
      </c>
      <c r="K1176" s="1">
        <v>8.2429900000000202</v>
      </c>
      <c r="L1176" s="1">
        <f t="shared" si="129"/>
        <v>66.824278089887642</v>
      </c>
      <c r="M1176" s="1">
        <v>-218.60943</v>
      </c>
      <c r="N1176" s="1">
        <v>-28.247699999999998</v>
      </c>
    </row>
    <row r="1177" spans="1:14" x14ac:dyDescent="0.4">
      <c r="B1177" s="1">
        <v>59.3999999999998</v>
      </c>
      <c r="C1177" s="1" t="s">
        <v>1188</v>
      </c>
      <c r="D1177" s="3">
        <f t="shared" si="130"/>
        <v>1912.0908982000003</v>
      </c>
      <c r="E1177" s="1">
        <v>80.2072</v>
      </c>
      <c r="F1177" s="1">
        <v>47.950099999999999</v>
      </c>
      <c r="G1177" s="1">
        <v>8.1525999999999996</v>
      </c>
      <c r="H1177" s="1">
        <v>8.6271000000000004</v>
      </c>
      <c r="I1177" s="1">
        <v>35.840499999999999</v>
      </c>
      <c r="J1177" s="1">
        <f t="shared" si="128"/>
        <v>32.792626399999996</v>
      </c>
      <c r="K1177" s="1">
        <v>7.9955300000000022</v>
      </c>
      <c r="L1177" s="1">
        <f t="shared" si="129"/>
        <v>61.784376179775279</v>
      </c>
      <c r="M1177" s="1">
        <v>-223.31515999999999</v>
      </c>
      <c r="N1177" s="1">
        <v>-29.03313</v>
      </c>
    </row>
    <row r="1178" spans="1:14" x14ac:dyDescent="0.4">
      <c r="A1178" s="5">
        <v>1912</v>
      </c>
      <c r="B1178" s="1">
        <v>59.449999999999797</v>
      </c>
      <c r="C1178" s="1" t="s">
        <v>1189</v>
      </c>
      <c r="D1178" s="3">
        <f>-0.833333*B1178+1961.541667</f>
        <v>1912.0000201500002</v>
      </c>
      <c r="E1178" s="1">
        <v>72.985699999999994</v>
      </c>
      <c r="F1178" s="1">
        <v>11.5509</v>
      </c>
      <c r="G1178" s="1">
        <v>15.5916</v>
      </c>
      <c r="H1178" s="1">
        <v>3.6749999999999998</v>
      </c>
      <c r="I1178" s="1">
        <v>36.5946</v>
      </c>
      <c r="J1178" s="1">
        <f t="shared" si="128"/>
        <v>33.821143399999997</v>
      </c>
      <c r="K1178" s="1">
        <v>9.524249999999995</v>
      </c>
      <c r="L1178" s="1">
        <f t="shared" si="129"/>
        <v>53.985057640449433</v>
      </c>
      <c r="M1178" s="1">
        <v>-232.07059000000001</v>
      </c>
      <c r="N1178" s="1">
        <v>-30.119800000000001</v>
      </c>
    </row>
    <row r="1179" spans="1:14" x14ac:dyDescent="0.4">
      <c r="B1179" s="1">
        <v>59.499999999999801</v>
      </c>
      <c r="C1179" s="1" t="s">
        <v>1190</v>
      </c>
      <c r="D1179" s="3">
        <f t="shared" ref="D1179:D1201" si="131">-0.833333*B1179+1961.541667</f>
        <v>1911.9583535000002</v>
      </c>
      <c r="E1179" s="1">
        <v>80.286299999999997</v>
      </c>
      <c r="F1179" s="1">
        <v>11.092499999999999</v>
      </c>
      <c r="G1179" s="1">
        <v>13.833299999999999</v>
      </c>
      <c r="H1179" s="1">
        <v>14.3993</v>
      </c>
      <c r="I1179" s="1">
        <v>90.765100000000004</v>
      </c>
      <c r="J1179" s="1">
        <f t="shared" si="128"/>
        <v>87.714220600000004</v>
      </c>
      <c r="K1179" s="1">
        <v>7.3721699999999828</v>
      </c>
      <c r="L1179" s="1">
        <f t="shared" si="129"/>
        <v>31.008647977528085</v>
      </c>
      <c r="M1179" s="1">
        <v>-241.61565999999999</v>
      </c>
      <c r="N1179" s="1">
        <v>-30.94941</v>
      </c>
    </row>
    <row r="1180" spans="1:14" x14ac:dyDescent="0.4">
      <c r="A1180" s="5"/>
      <c r="B1180" s="1">
        <v>59.549999999999798</v>
      </c>
      <c r="C1180" s="1" t="s">
        <v>1191</v>
      </c>
      <c r="D1180" s="3">
        <f t="shared" si="131"/>
        <v>1911.9166868500001</v>
      </c>
      <c r="E1180" s="1">
        <v>23.503399999999999</v>
      </c>
      <c r="F1180" s="1">
        <v>29.92</v>
      </c>
      <c r="G1180" s="1">
        <v>8.3338999999999999</v>
      </c>
      <c r="H1180" s="1">
        <v>2.7927</v>
      </c>
      <c r="I1180" s="1">
        <v>30.4072</v>
      </c>
      <c r="J1180" s="1">
        <f t="shared" si="128"/>
        <v>29.514070799999999</v>
      </c>
      <c r="K1180" s="1">
        <v>8.9498800000000074</v>
      </c>
      <c r="L1180" s="1">
        <f t="shared" si="129"/>
        <v>6.9224613483146058</v>
      </c>
      <c r="M1180" s="1">
        <v>-245.95929000000001</v>
      </c>
      <c r="N1180" s="1">
        <v>-31.684729999999998</v>
      </c>
    </row>
    <row r="1181" spans="1:14" x14ac:dyDescent="0.4">
      <c r="B1181" s="1">
        <v>59.599999999999902</v>
      </c>
      <c r="C1181" s="1" t="s">
        <v>1192</v>
      </c>
      <c r="D1181" s="3">
        <f t="shared" si="131"/>
        <v>1911.8750202000001</v>
      </c>
      <c r="E1181" s="1">
        <v>68.808199999999999</v>
      </c>
      <c r="F1181" s="1">
        <v>22.056000000000001</v>
      </c>
      <c r="G1181" s="1">
        <v>5.7198000000000002</v>
      </c>
      <c r="H1181" s="1">
        <v>8.8957999999999995</v>
      </c>
      <c r="I1181" s="1">
        <v>22.317699999999999</v>
      </c>
      <c r="J1181" s="1">
        <f t="shared" si="128"/>
        <v>19.702988399999999</v>
      </c>
      <c r="K1181" s="1">
        <v>8.8878100000000018</v>
      </c>
      <c r="L1181" s="1">
        <f t="shared" si="129"/>
        <v>57.739105393258427</v>
      </c>
      <c r="M1181" s="1">
        <v>-253.43610000000001</v>
      </c>
      <c r="N1181" s="1">
        <v>-32.533909999999999</v>
      </c>
    </row>
    <row r="1182" spans="1:14" x14ac:dyDescent="0.4">
      <c r="A1182" s="5"/>
      <c r="B1182" s="1">
        <v>59.649999999999899</v>
      </c>
      <c r="C1182" s="1" t="s">
        <v>1193</v>
      </c>
      <c r="D1182" s="3">
        <f t="shared" si="131"/>
        <v>1911.8333535500001</v>
      </c>
      <c r="E1182" s="1">
        <v>50.647100000000002</v>
      </c>
      <c r="F1182" s="1">
        <v>84.004599999999996</v>
      </c>
      <c r="G1182" s="1">
        <v>13.2729</v>
      </c>
      <c r="H1182" s="1">
        <v>7.0304000000000002</v>
      </c>
      <c r="I1182" s="1">
        <v>79.141199999999998</v>
      </c>
      <c r="J1182" s="1">
        <f t="shared" si="128"/>
        <v>77.216610199999991</v>
      </c>
      <c r="K1182" s="1">
        <v>5.9796200000000113</v>
      </c>
      <c r="L1182" s="1">
        <f t="shared" si="129"/>
        <v>7.2669819101123636</v>
      </c>
      <c r="M1182" s="1">
        <v>-247.37486999999999</v>
      </c>
      <c r="N1182" s="1">
        <v>-31.707999999999998</v>
      </c>
    </row>
    <row r="1183" spans="1:14" x14ac:dyDescent="0.4">
      <c r="B1183" s="1">
        <v>59.699999999999903</v>
      </c>
      <c r="C1183" s="1" t="s">
        <v>1194</v>
      </c>
      <c r="D1183" s="3">
        <f t="shared" si="131"/>
        <v>1911.7916869000001</v>
      </c>
      <c r="E1183" s="1">
        <v>279.26990000000001</v>
      </c>
      <c r="F1183" s="1">
        <v>28.527699999999999</v>
      </c>
      <c r="G1183" s="1">
        <v>161.53639999999999</v>
      </c>
      <c r="H1183" s="1">
        <v>3.8201999999999998</v>
      </c>
      <c r="I1183" s="1">
        <v>20.989899999999999</v>
      </c>
      <c r="J1183" s="1">
        <f t="shared" si="128"/>
        <v>10.3776438</v>
      </c>
      <c r="K1183" s="1">
        <v>7.5185499999999763</v>
      </c>
      <c r="L1183" s="1">
        <f t="shared" si="129"/>
        <v>273.43976303370789</v>
      </c>
      <c r="M1183" s="1">
        <v>-246.21329</v>
      </c>
      <c r="N1183" s="1">
        <v>-31.624110000000002</v>
      </c>
    </row>
    <row r="1184" spans="1:14" x14ac:dyDescent="0.4">
      <c r="A1184" s="5"/>
      <c r="B1184" s="1">
        <v>59.749999999999901</v>
      </c>
      <c r="C1184" s="1" t="s">
        <v>1195</v>
      </c>
      <c r="D1184" s="3">
        <f t="shared" si="131"/>
        <v>1911.75002025</v>
      </c>
      <c r="E1184" s="1">
        <v>30.647600000000001</v>
      </c>
      <c r="F1184" s="1">
        <v>16.8064</v>
      </c>
      <c r="G1184" s="1">
        <v>12.892200000000001</v>
      </c>
      <c r="H1184" s="1">
        <v>2.6779000000000002</v>
      </c>
      <c r="I1184" s="1">
        <v>57.974600000000002</v>
      </c>
      <c r="J1184" s="1">
        <f t="shared" si="128"/>
        <v>56.809991199999999</v>
      </c>
      <c r="K1184" s="1">
        <v>6.8351799999999798</v>
      </c>
      <c r="L1184" s="1">
        <f t="shared" si="129"/>
        <v>-1.2681253932584262</v>
      </c>
      <c r="M1184" s="1">
        <v>-233.54293999999999</v>
      </c>
      <c r="N1184" s="1">
        <v>-30.18272</v>
      </c>
    </row>
    <row r="1185" spans="1:14" x14ac:dyDescent="0.4">
      <c r="B1185" s="1">
        <v>59.799999999999898</v>
      </c>
      <c r="C1185" s="1" t="s">
        <v>1196</v>
      </c>
      <c r="D1185" s="3">
        <f t="shared" si="131"/>
        <v>1911.7083536</v>
      </c>
      <c r="E1185" s="1">
        <v>55.767299999999999</v>
      </c>
      <c r="F1185" s="1">
        <v>36.906599999999997</v>
      </c>
      <c r="G1185" s="1">
        <v>5.4861000000000004</v>
      </c>
      <c r="H1185" s="1">
        <v>17.550799999999999</v>
      </c>
      <c r="I1185" s="1">
        <v>75.792199999999994</v>
      </c>
      <c r="J1185" s="1">
        <f t="shared" si="128"/>
        <v>73.673042599999988</v>
      </c>
      <c r="K1185" s="1">
        <v>6.2891300000000001</v>
      </c>
      <c r="L1185" s="1">
        <f t="shared" si="129"/>
        <v>14.377950224719108</v>
      </c>
      <c r="M1185" s="1">
        <v>-221.50729000000001</v>
      </c>
      <c r="N1185" s="1">
        <v>-29.000209999999999</v>
      </c>
    </row>
    <row r="1186" spans="1:14" x14ac:dyDescent="0.4">
      <c r="A1186" s="5"/>
      <c r="B1186" s="1">
        <v>59.849999999999902</v>
      </c>
      <c r="C1186" s="1" t="s">
        <v>1197</v>
      </c>
      <c r="D1186" s="3">
        <f t="shared" si="131"/>
        <v>1911.66668695</v>
      </c>
      <c r="E1186" s="1">
        <v>49.014699999999998</v>
      </c>
      <c r="F1186" s="1">
        <v>33.645000000000003</v>
      </c>
      <c r="G1186" s="1">
        <v>3.9649999999999999</v>
      </c>
      <c r="H1186" s="1">
        <v>3.6850999999999998</v>
      </c>
      <c r="I1186" s="1">
        <v>25.8828</v>
      </c>
      <c r="J1186" s="1">
        <f t="shared" si="128"/>
        <v>24.0202414</v>
      </c>
      <c r="K1186" s="1">
        <v>6.7795900000000131</v>
      </c>
      <c r="L1186" s="1">
        <f t="shared" si="129"/>
        <v>35.52018235955056</v>
      </c>
      <c r="M1186" s="1">
        <v>-220.70025000000001</v>
      </c>
      <c r="N1186" s="1">
        <v>-28.914729999999999</v>
      </c>
    </row>
    <row r="1187" spans="1:14" x14ac:dyDescent="0.4">
      <c r="B1187" s="1">
        <v>59.899999999999899</v>
      </c>
      <c r="C1187" s="1" t="s">
        <v>1198</v>
      </c>
      <c r="D1187" s="3">
        <f t="shared" si="131"/>
        <v>1911.6250203</v>
      </c>
      <c r="E1187" s="1">
        <v>53.1663</v>
      </c>
      <c r="F1187" s="1">
        <v>13.3276</v>
      </c>
      <c r="G1187" s="1">
        <v>5.2794999999999996</v>
      </c>
      <c r="H1187" s="1">
        <v>9.1539999999999999</v>
      </c>
      <c r="I1187" s="1">
        <v>76.057500000000005</v>
      </c>
      <c r="J1187" s="1">
        <f t="shared" si="128"/>
        <v>74.037180599999999</v>
      </c>
      <c r="K1187" s="1">
        <v>7.9188200000000109</v>
      </c>
      <c r="L1187" s="1">
        <f t="shared" si="129"/>
        <v>11.572378314606745</v>
      </c>
      <c r="M1187" s="1">
        <v>-225.07893000000001</v>
      </c>
      <c r="N1187" s="1">
        <v>-29.34244</v>
      </c>
    </row>
    <row r="1188" spans="1:14" x14ac:dyDescent="0.4">
      <c r="A1188" s="5"/>
      <c r="B1188" s="1">
        <v>59.949999999999903</v>
      </c>
      <c r="C1188" s="1" t="s">
        <v>1199</v>
      </c>
      <c r="D1188" s="3">
        <f t="shared" si="131"/>
        <v>1911.5833536499999</v>
      </c>
      <c r="E1188" s="1">
        <v>71.212000000000003</v>
      </c>
      <c r="F1188" s="1">
        <v>57.394799999999996</v>
      </c>
      <c r="G1188" s="1">
        <v>5.8975</v>
      </c>
      <c r="H1188" s="1">
        <v>4.9930000000000003</v>
      </c>
      <c r="I1188" s="1">
        <v>36.7378</v>
      </c>
      <c r="J1188" s="1">
        <f t="shared" si="128"/>
        <v>34.031744000000003</v>
      </c>
      <c r="K1188" s="1">
        <v>10.494389999999981</v>
      </c>
      <c r="L1188" s="1">
        <f t="shared" si="129"/>
        <v>52.093042696629212</v>
      </c>
      <c r="M1188" s="1">
        <v>-232.13480999999999</v>
      </c>
      <c r="N1188" s="1">
        <v>-30.212890000000002</v>
      </c>
    </row>
    <row r="1189" spans="1:14" x14ac:dyDescent="0.4">
      <c r="B1189" s="1">
        <v>59.999999999999901</v>
      </c>
      <c r="C1189" s="1" t="s">
        <v>1200</v>
      </c>
      <c r="D1189" s="3">
        <f t="shared" si="131"/>
        <v>1911.5416870000001</v>
      </c>
      <c r="E1189" s="1">
        <v>75.283900000000003</v>
      </c>
      <c r="F1189" s="1">
        <v>5.7178000000000004</v>
      </c>
      <c r="G1189" s="1">
        <v>3.5095999999999998</v>
      </c>
      <c r="H1189" s="1">
        <v>11.962300000000001</v>
      </c>
      <c r="I1189" s="1">
        <v>53.509599999999999</v>
      </c>
      <c r="J1189" s="1">
        <f t="shared" si="128"/>
        <v>50.648811799999997</v>
      </c>
      <c r="K1189" s="1">
        <v>10.617589999999979</v>
      </c>
      <c r="L1189" s="1">
        <f t="shared" si="129"/>
        <v>46.829511348314611</v>
      </c>
      <c r="M1189" s="1">
        <v>-233.36404999999999</v>
      </c>
      <c r="N1189" s="1">
        <v>-30.413180000000001</v>
      </c>
    </row>
    <row r="1190" spans="1:14" x14ac:dyDescent="0.4">
      <c r="A1190" s="5"/>
      <c r="B1190" s="1">
        <v>60.049999999999898</v>
      </c>
      <c r="C1190" s="1" t="s">
        <v>1201</v>
      </c>
      <c r="D1190" s="3">
        <f t="shared" si="131"/>
        <v>1911.5000203500001</v>
      </c>
      <c r="E1190" s="1">
        <v>21.933399999999999</v>
      </c>
      <c r="F1190" s="1">
        <v>55.464500000000001</v>
      </c>
      <c r="G1190" s="1">
        <v>3.5628000000000002</v>
      </c>
      <c r="H1190" s="1">
        <v>3.3913000000000002</v>
      </c>
      <c r="I1190" s="1">
        <v>33.646000000000001</v>
      </c>
      <c r="J1190" s="1">
        <f t="shared" si="128"/>
        <v>32.812530799999998</v>
      </c>
      <c r="K1190" s="1">
        <v>9.6605899999999849</v>
      </c>
      <c r="L1190" s="1">
        <f t="shared" si="129"/>
        <v>3.4993939325842689</v>
      </c>
      <c r="M1190" s="1">
        <v>-237.1199</v>
      </c>
      <c r="N1190" s="1">
        <v>-30.91769</v>
      </c>
    </row>
    <row r="1191" spans="1:14" x14ac:dyDescent="0.4">
      <c r="B1191" s="1">
        <v>60.099999999999902</v>
      </c>
      <c r="C1191" s="1" t="s">
        <v>1202</v>
      </c>
      <c r="D1191" s="3">
        <f t="shared" si="131"/>
        <v>1911.4583537000001</v>
      </c>
      <c r="E1191" s="1">
        <v>36.828200000000002</v>
      </c>
      <c r="F1191" s="1">
        <v>40.364100000000001</v>
      </c>
      <c r="G1191" s="1">
        <v>3.4980000000000002</v>
      </c>
      <c r="H1191" s="1">
        <v>6.8102</v>
      </c>
      <c r="I1191" s="1">
        <v>43.325400000000002</v>
      </c>
      <c r="J1191" s="1">
        <f t="shared" si="128"/>
        <v>41.925928400000004</v>
      </c>
      <c r="K1191" s="1">
        <v>9.5683100000000252</v>
      </c>
      <c r="L1191" s="1">
        <f t="shared" si="129"/>
        <v>13.27430764044944</v>
      </c>
      <c r="M1191" s="1">
        <v>-238.64901</v>
      </c>
      <c r="N1191" s="1">
        <v>-31.01492</v>
      </c>
    </row>
    <row r="1192" spans="1:14" x14ac:dyDescent="0.4">
      <c r="A1192" s="5"/>
      <c r="B1192" s="1">
        <v>60.149999999999899</v>
      </c>
      <c r="C1192" s="1" t="s">
        <v>1203</v>
      </c>
      <c r="D1192" s="3">
        <f t="shared" si="131"/>
        <v>1911.4166870500001</v>
      </c>
      <c r="E1192" s="1">
        <v>43.335000000000001</v>
      </c>
      <c r="F1192" s="1">
        <v>14.5383</v>
      </c>
      <c r="G1192" s="1">
        <v>3.9712999999999998</v>
      </c>
      <c r="H1192" s="1">
        <v>3.8159000000000001</v>
      </c>
      <c r="I1192" s="1">
        <v>30.7347</v>
      </c>
      <c r="J1192" s="1">
        <f t="shared" si="128"/>
        <v>29.087969999999999</v>
      </c>
      <c r="K1192" s="1">
        <v>9.9413900000000126</v>
      </c>
      <c r="L1192" s="1">
        <f t="shared" si="129"/>
        <v>26.993443820224719</v>
      </c>
      <c r="M1192" s="1">
        <v>-238.74051</v>
      </c>
      <c r="N1192" s="1">
        <v>-31.143709999999999</v>
      </c>
    </row>
    <row r="1193" spans="1:14" x14ac:dyDescent="0.4">
      <c r="B1193" s="1">
        <v>60.199999999999903</v>
      </c>
      <c r="C1193" s="1" t="s">
        <v>1204</v>
      </c>
      <c r="D1193" s="3">
        <f t="shared" si="131"/>
        <v>1911.3750204</v>
      </c>
      <c r="E1193" s="1">
        <v>34.643799999999999</v>
      </c>
      <c r="F1193" s="1">
        <v>28.894300000000001</v>
      </c>
      <c r="G1193" s="1">
        <v>5.5811999999999999</v>
      </c>
      <c r="H1193" s="1">
        <v>6.4135999999999997</v>
      </c>
      <c r="I1193" s="1">
        <v>43.451000000000001</v>
      </c>
      <c r="J1193" s="1">
        <f t="shared" si="128"/>
        <v>42.1345356</v>
      </c>
      <c r="K1193" s="1">
        <v>10.221620000000001</v>
      </c>
      <c r="L1193" s="1">
        <f t="shared" si="129"/>
        <v>10.972712584269662</v>
      </c>
      <c r="M1193" s="1">
        <v>-239.48291</v>
      </c>
      <c r="N1193" s="1">
        <v>-31.256620000000002</v>
      </c>
    </row>
    <row r="1194" spans="1:14" x14ac:dyDescent="0.4">
      <c r="A1194" s="5"/>
      <c r="B1194" s="1">
        <v>60.249999999999901</v>
      </c>
      <c r="C1194" s="1" t="s">
        <v>1205</v>
      </c>
      <c r="D1194" s="3">
        <f t="shared" si="131"/>
        <v>1911.33335375</v>
      </c>
      <c r="E1194" s="1">
        <v>38.896299999999997</v>
      </c>
      <c r="F1194" s="1">
        <v>21.702000000000002</v>
      </c>
      <c r="G1194" s="1">
        <v>2.5101</v>
      </c>
      <c r="H1194" s="1">
        <v>2.9910000000000001</v>
      </c>
      <c r="I1194" s="1">
        <v>38.350299999999997</v>
      </c>
      <c r="J1194" s="1">
        <f t="shared" si="128"/>
        <v>36.872240599999998</v>
      </c>
      <c r="K1194" s="1">
        <v>9.4703499999999963</v>
      </c>
      <c r="L1194" s="1">
        <f t="shared" si="129"/>
        <v>18.181558089887638</v>
      </c>
      <c r="M1194" s="1">
        <v>-240.79163</v>
      </c>
      <c r="N1194" s="1">
        <v>-31.46022</v>
      </c>
    </row>
    <row r="1195" spans="1:14" x14ac:dyDescent="0.4">
      <c r="B1195" s="1">
        <v>60.299999999999898</v>
      </c>
      <c r="C1195" s="1" t="s">
        <v>1206</v>
      </c>
      <c r="D1195" s="3">
        <f t="shared" si="131"/>
        <v>1911.2916871</v>
      </c>
      <c r="E1195" s="1">
        <v>44.8996</v>
      </c>
      <c r="F1195" s="1">
        <v>31.417400000000001</v>
      </c>
      <c r="G1195" s="1">
        <v>11.6852</v>
      </c>
      <c r="H1195" s="1">
        <v>8.7895000000000003</v>
      </c>
      <c r="I1195" s="1">
        <v>129.12549999999999</v>
      </c>
      <c r="J1195" s="1">
        <f t="shared" si="128"/>
        <v>127.41931519999999</v>
      </c>
      <c r="K1195" s="1">
        <v>10.409169999999989</v>
      </c>
      <c r="L1195" s="1">
        <f t="shared" si="129"/>
        <v>-26.684284943820209</v>
      </c>
      <c r="M1195" s="1">
        <v>-240.94504000000001</v>
      </c>
      <c r="N1195" s="1">
        <v>-31.500699999999998</v>
      </c>
    </row>
    <row r="1196" spans="1:14" x14ac:dyDescent="0.4">
      <c r="A1196" s="5"/>
      <c r="B1196" s="1">
        <v>60.349999999999902</v>
      </c>
      <c r="C1196" s="1" t="s">
        <v>1207</v>
      </c>
      <c r="D1196" s="3">
        <f t="shared" si="131"/>
        <v>1911.25002045</v>
      </c>
      <c r="E1196" s="1">
        <v>54.454599999999999</v>
      </c>
      <c r="F1196" s="1">
        <v>31.7593</v>
      </c>
      <c r="G1196" s="1">
        <v>12.4185</v>
      </c>
      <c r="H1196" s="1">
        <v>5.5404</v>
      </c>
      <c r="I1196" s="1">
        <v>72.356499999999997</v>
      </c>
      <c r="J1196" s="1">
        <f t="shared" si="128"/>
        <v>70.287225199999995</v>
      </c>
      <c r="K1196" s="1">
        <v>10.570050000000009</v>
      </c>
      <c r="L1196" s="1">
        <f t="shared" si="129"/>
        <v>14.96739483146068</v>
      </c>
      <c r="M1196" s="1">
        <v>-241.36673999999999</v>
      </c>
      <c r="N1196" s="1">
        <v>-31.528949999999998</v>
      </c>
    </row>
    <row r="1197" spans="1:14" x14ac:dyDescent="0.4">
      <c r="B1197" s="1">
        <v>60.399999999999899</v>
      </c>
      <c r="C1197" s="1" t="s">
        <v>1208</v>
      </c>
      <c r="D1197" s="3">
        <f t="shared" si="131"/>
        <v>1911.2083537999999</v>
      </c>
      <c r="E1197" s="1">
        <v>271.27539999999999</v>
      </c>
      <c r="F1197" s="1">
        <v>44.673200000000001</v>
      </c>
      <c r="G1197" s="1">
        <v>35.875300000000003</v>
      </c>
      <c r="H1197" s="1">
        <v>23.4575</v>
      </c>
      <c r="I1197" s="1">
        <v>75.221900000000005</v>
      </c>
      <c r="J1197" s="1">
        <f t="shared" si="128"/>
        <v>64.913434800000005</v>
      </c>
      <c r="K1197" s="1">
        <v>10.890129999999999</v>
      </c>
      <c r="L1197" s="1">
        <f t="shared" si="129"/>
        <v>234.80717820224717</v>
      </c>
      <c r="M1197" s="1">
        <v>-240.81748999999999</v>
      </c>
      <c r="N1197" s="1">
        <v>-31.145900000000001</v>
      </c>
    </row>
    <row r="1198" spans="1:14" x14ac:dyDescent="0.4">
      <c r="A1198" s="5"/>
      <c r="B1198" s="1">
        <v>60.449999999999903</v>
      </c>
      <c r="C1198" s="1" t="s">
        <v>1209</v>
      </c>
      <c r="D1198" s="3">
        <f t="shared" si="131"/>
        <v>1911.1666871500001</v>
      </c>
      <c r="E1198" s="1">
        <v>50.587200000000003</v>
      </c>
      <c r="F1198" s="1">
        <v>38.509700000000002</v>
      </c>
      <c r="G1198" s="1">
        <v>7.6769999999999996</v>
      </c>
      <c r="H1198" s="1">
        <v>11.1206</v>
      </c>
      <c r="I1198" s="1">
        <v>61.726999999999997</v>
      </c>
      <c r="J1198" s="1">
        <f t="shared" si="128"/>
        <v>59.804686399999994</v>
      </c>
      <c r="K1198" s="1">
        <v>11.060559999999981</v>
      </c>
      <c r="L1198" s="1">
        <f t="shared" si="129"/>
        <v>16.989061573033716</v>
      </c>
      <c r="M1198" s="1">
        <v>-235.83251000000001</v>
      </c>
      <c r="N1198" s="1">
        <v>-30.617280000000001</v>
      </c>
    </row>
    <row r="1199" spans="1:14" x14ac:dyDescent="0.4">
      <c r="B1199" s="1">
        <v>60.499999999999901</v>
      </c>
      <c r="C1199" s="1" t="s">
        <v>1210</v>
      </c>
      <c r="D1199" s="3">
        <f t="shared" si="131"/>
        <v>1911.1250205000001</v>
      </c>
      <c r="E1199" s="1">
        <v>58.190899999999999</v>
      </c>
      <c r="F1199" s="1">
        <v>52.5139</v>
      </c>
      <c r="G1199" s="1">
        <v>20.589600000000001</v>
      </c>
      <c r="H1199" s="1">
        <v>8.3254999999999999</v>
      </c>
      <c r="I1199" s="1">
        <v>121.50109999999999</v>
      </c>
      <c r="J1199" s="1">
        <f t="shared" si="128"/>
        <v>119.28984579999999</v>
      </c>
      <c r="K1199" s="1">
        <v>10.864859999999993</v>
      </c>
      <c r="L1199" s="1">
        <f t="shared" si="129"/>
        <v>-8.8258673033707851</v>
      </c>
      <c r="M1199" s="1">
        <v>-230.54262</v>
      </c>
      <c r="N1199" s="1">
        <v>-30.012149999999998</v>
      </c>
    </row>
    <row r="1200" spans="1:14" x14ac:dyDescent="0.4">
      <c r="A1200" s="5"/>
      <c r="B1200" s="1">
        <v>60.549999999999898</v>
      </c>
      <c r="C1200" s="1" t="s">
        <v>1211</v>
      </c>
      <c r="D1200" s="3">
        <f t="shared" si="131"/>
        <v>1911.0833538500001</v>
      </c>
      <c r="E1200" s="1">
        <v>82.452799999999996</v>
      </c>
      <c r="F1200" s="1">
        <v>13.689399999999999</v>
      </c>
      <c r="G1200" s="1">
        <v>6.1181999999999999</v>
      </c>
      <c r="H1200" s="1">
        <v>9.2296999999999993</v>
      </c>
      <c r="I1200" s="1">
        <v>36.491700000000002</v>
      </c>
      <c r="J1200" s="1">
        <f t="shared" si="128"/>
        <v>33.358493600000003</v>
      </c>
      <c r="K1200" s="1">
        <v>8.349710000000016</v>
      </c>
      <c r="L1200" s="1">
        <f t="shared" si="129"/>
        <v>63.712073258426962</v>
      </c>
      <c r="M1200" s="1">
        <v>-229.39331999999999</v>
      </c>
      <c r="N1200" s="1">
        <v>-30.060880000000001</v>
      </c>
    </row>
    <row r="1201" spans="1:14" x14ac:dyDescent="0.4">
      <c r="B1201" s="1">
        <v>60.599999999999902</v>
      </c>
      <c r="C1201" s="1" t="s">
        <v>1212</v>
      </c>
      <c r="D1201" s="3">
        <f t="shared" si="131"/>
        <v>1911.0416872000001</v>
      </c>
      <c r="E1201" s="1">
        <v>66.627099999999999</v>
      </c>
      <c r="F1201" s="1">
        <v>15.4588</v>
      </c>
      <c r="G1201" s="1">
        <v>8.7874999999999996</v>
      </c>
      <c r="H1201" s="1">
        <v>12.114699999999999</v>
      </c>
      <c r="I1201" s="1">
        <v>99.315600000000003</v>
      </c>
      <c r="J1201" s="1">
        <f t="shared" si="128"/>
        <v>96.783770200000006</v>
      </c>
      <c r="K1201" s="1">
        <v>9.1057299999999941</v>
      </c>
      <c r="L1201" s="1">
        <f t="shared" si="129"/>
        <v>12.254195393258421</v>
      </c>
      <c r="M1201" s="1">
        <v>-228.22842</v>
      </c>
      <c r="N1201" s="1">
        <v>-29.892600000000002</v>
      </c>
    </row>
    <row r="1202" spans="1:14" x14ac:dyDescent="0.4">
      <c r="A1202" s="5">
        <v>1911</v>
      </c>
      <c r="B1202" s="1">
        <v>60.649999999999899</v>
      </c>
      <c r="C1202" s="1" t="s">
        <v>1213</v>
      </c>
      <c r="D1202" s="3">
        <f>-4*B1202+2153.6</f>
        <v>1911.0000000000002</v>
      </c>
      <c r="E1202" s="1">
        <v>57.539200000000001</v>
      </c>
      <c r="F1202" s="1">
        <v>7.5533000000000001</v>
      </c>
      <c r="G1202" s="1">
        <v>4.9569999999999999</v>
      </c>
      <c r="H1202" s="1">
        <v>5.1932</v>
      </c>
      <c r="I1202" s="1">
        <v>44.831099999999999</v>
      </c>
      <c r="J1202" s="1">
        <f t="shared" si="128"/>
        <v>42.644610399999998</v>
      </c>
      <c r="K1202" s="1">
        <v>9.5545799999999872</v>
      </c>
      <c r="L1202" s="1">
        <f t="shared" si="129"/>
        <v>33.581553707865169</v>
      </c>
      <c r="M1202" s="1">
        <v>-227.60003</v>
      </c>
      <c r="N1202" s="1">
        <v>-29.776199999999999</v>
      </c>
    </row>
    <row r="1203" spans="1:14" x14ac:dyDescent="0.4">
      <c r="B1203" s="1">
        <v>60.699999999999903</v>
      </c>
      <c r="C1203" s="1" t="s">
        <v>1214</v>
      </c>
      <c r="D1203" s="3">
        <f>-4*B1203+2153.6</f>
        <v>1910.8000000000002</v>
      </c>
      <c r="E1203" s="1">
        <v>67.931100000000001</v>
      </c>
      <c r="F1203" s="1">
        <v>16.547599999999999</v>
      </c>
      <c r="G1203" s="1">
        <v>5.0511999999999997</v>
      </c>
      <c r="H1203" s="1">
        <v>21.272099999999998</v>
      </c>
      <c r="I1203" s="1">
        <v>110.36</v>
      </c>
      <c r="J1203" s="1">
        <f t="shared" si="128"/>
        <v>107.7786182</v>
      </c>
      <c r="K1203" s="1">
        <v>11.093720000000019</v>
      </c>
      <c r="L1203" s="1">
        <f t="shared" si="129"/>
        <v>7.3813144943820248</v>
      </c>
      <c r="M1203" s="1">
        <v>-227.24529000000001</v>
      </c>
      <c r="N1203" s="1">
        <v>-29.685849999999999</v>
      </c>
    </row>
    <row r="1204" spans="1:14" x14ac:dyDescent="0.4">
      <c r="A1204" s="5"/>
      <c r="B1204" s="1">
        <v>60.749999999999901</v>
      </c>
      <c r="C1204" s="1" t="s">
        <v>1215</v>
      </c>
      <c r="D1204" s="3">
        <f>-4*B1204+2153.6</f>
        <v>1910.6000000000004</v>
      </c>
      <c r="E1204" s="1">
        <v>19.691800000000001</v>
      </c>
      <c r="F1204" s="1">
        <v>9.2687000000000008</v>
      </c>
      <c r="G1204" s="1">
        <v>3.7968000000000002</v>
      </c>
      <c r="H1204" s="1">
        <v>3.1381000000000001</v>
      </c>
      <c r="I1204" s="1">
        <v>55.532299999999999</v>
      </c>
      <c r="J1204" s="1">
        <f t="shared" si="128"/>
        <v>54.784011599999999</v>
      </c>
      <c r="K1204" s="1">
        <v>10.912380000000013</v>
      </c>
      <c r="L1204" s="1">
        <f t="shared" si="129"/>
        <v>-11.085734606741571</v>
      </c>
      <c r="M1204" s="1">
        <v>-226.39646999999999</v>
      </c>
      <c r="N1204" s="1">
        <v>-29.564019999999999</v>
      </c>
    </row>
    <row r="1205" spans="1:14" x14ac:dyDescent="0.4">
      <c r="B1205" s="1">
        <v>60.8</v>
      </c>
      <c r="C1205" s="1" t="s">
        <v>1216</v>
      </c>
      <c r="D1205" s="3">
        <f>-4*B1205+2153.6</f>
        <v>1910.3999999999999</v>
      </c>
      <c r="E1205" s="1">
        <v>130.1223</v>
      </c>
      <c r="F1205" s="1">
        <v>29.292300000000001</v>
      </c>
      <c r="G1205" s="1">
        <v>11.013400000000001</v>
      </c>
      <c r="H1205" s="1">
        <v>22.255299999999998</v>
      </c>
      <c r="I1205" s="1">
        <v>97.126400000000004</v>
      </c>
      <c r="J1205" s="1">
        <f t="shared" si="128"/>
        <v>92.18175260000001</v>
      </c>
      <c r="K1205" s="1">
        <v>10.609569999999991</v>
      </c>
      <c r="L1205" s="1">
        <f t="shared" si="129"/>
        <v>78.334798539325831</v>
      </c>
      <c r="M1205" s="1">
        <v>-224.63503</v>
      </c>
      <c r="N1205" s="1">
        <v>-29.104430000000001</v>
      </c>
    </row>
    <row r="1206" spans="1:14" x14ac:dyDescent="0.4">
      <c r="B1206" s="1">
        <v>60.85</v>
      </c>
      <c r="C1206" s="1" t="s">
        <v>1217</v>
      </c>
      <c r="D1206" s="3">
        <f>-4*B1206+2153.6</f>
        <v>1910.1999999999998</v>
      </c>
      <c r="E1206" s="1">
        <v>206.33609999999999</v>
      </c>
      <c r="F1206" s="1">
        <v>53.389899999999997</v>
      </c>
      <c r="G1206" s="1">
        <v>9.7302</v>
      </c>
      <c r="H1206" s="1">
        <v>17.305399999999999</v>
      </c>
      <c r="I1206" s="1">
        <v>46.319800000000001</v>
      </c>
      <c r="J1206" s="1">
        <f t="shared" si="128"/>
        <v>38.479028200000002</v>
      </c>
      <c r="K1206" s="1">
        <v>10.241509999999977</v>
      </c>
      <c r="L1206" s="1">
        <f t="shared" si="129"/>
        <v>184.71866842696627</v>
      </c>
      <c r="M1206" s="1">
        <v>-225.78305</v>
      </c>
      <c r="N1206" s="1">
        <v>-29.101790000000001</v>
      </c>
    </row>
    <row r="1207" spans="1:14" x14ac:dyDescent="0.4">
      <c r="A1207" s="1">
        <v>1910</v>
      </c>
      <c r="B1207" s="1">
        <v>60.9</v>
      </c>
      <c r="C1207" s="1" t="s">
        <v>1218</v>
      </c>
      <c r="D1207" s="3">
        <f>-1.538462*B1207+2003.692308</f>
        <v>1909.9999722</v>
      </c>
      <c r="E1207" s="1">
        <v>166.41499999999999</v>
      </c>
      <c r="F1207" s="1">
        <v>44.848300000000002</v>
      </c>
      <c r="G1207" s="1">
        <v>6.3578000000000001</v>
      </c>
      <c r="H1207" s="1">
        <v>26.617899999999999</v>
      </c>
      <c r="I1207" s="1">
        <v>83.945099999999996</v>
      </c>
      <c r="J1207" s="1">
        <f t="shared" si="128"/>
        <v>77.62133</v>
      </c>
      <c r="K1207" s="1">
        <v>10.115690000000001</v>
      </c>
      <c r="L1207" s="1">
        <f t="shared" si="129"/>
        <v>122.80751123595505</v>
      </c>
      <c r="M1207" s="1">
        <v>-226.43379999999999</v>
      </c>
      <c r="N1207" s="1">
        <v>-29.116669999999999</v>
      </c>
    </row>
    <row r="1208" spans="1:14" x14ac:dyDescent="0.4">
      <c r="B1208" s="1">
        <v>60.95</v>
      </c>
      <c r="C1208" s="1" t="s">
        <v>1219</v>
      </c>
      <c r="D1208" s="3">
        <f t="shared" ref="D1208:D1218" si="132">-1.538462*B1208+2003.692308</f>
        <v>1909.9230490999998</v>
      </c>
      <c r="E1208" s="1">
        <v>63.460999999999999</v>
      </c>
      <c r="F1208" s="1">
        <v>48.860300000000002</v>
      </c>
      <c r="G1208" s="1">
        <v>4.0457999999999998</v>
      </c>
      <c r="H1208" s="1">
        <v>6.1376999999999997</v>
      </c>
      <c r="I1208" s="1">
        <v>45.674300000000002</v>
      </c>
      <c r="J1208" s="1">
        <f t="shared" si="128"/>
        <v>43.262782000000001</v>
      </c>
      <c r="K1208" s="1">
        <v>8.2004100000000051</v>
      </c>
      <c r="L1208" s="1">
        <f t="shared" si="129"/>
        <v>39.156066292134831</v>
      </c>
      <c r="M1208" s="1">
        <v>-222.27635000000001</v>
      </c>
      <c r="N1208" s="1">
        <v>-28.750720000000001</v>
      </c>
    </row>
    <row r="1209" spans="1:14" x14ac:dyDescent="0.4">
      <c r="B1209" s="1">
        <v>61</v>
      </c>
      <c r="C1209" s="1" t="s">
        <v>1220</v>
      </c>
      <c r="D1209" s="3">
        <f t="shared" si="132"/>
        <v>1909.8461259999999</v>
      </c>
      <c r="E1209" s="1">
        <v>49.233699999999999</v>
      </c>
      <c r="F1209" s="1">
        <v>30.443300000000001</v>
      </c>
      <c r="G1209" s="1">
        <v>8.2939000000000007</v>
      </c>
      <c r="H1209" s="1">
        <v>9.2356999999999996</v>
      </c>
      <c r="I1209" s="1">
        <v>76.877300000000005</v>
      </c>
      <c r="J1209" s="1">
        <f t="shared" si="128"/>
        <v>75.006419399999999</v>
      </c>
      <c r="K1209" s="1">
        <v>7.0312700000000063</v>
      </c>
      <c r="L1209" s="1">
        <f t="shared" si="129"/>
        <v>7.095262134831458</v>
      </c>
      <c r="M1209" s="1">
        <v>-220.86729</v>
      </c>
      <c r="N1209" s="1">
        <v>-28.723559999999999</v>
      </c>
    </row>
    <row r="1210" spans="1:14" x14ac:dyDescent="0.4">
      <c r="B1210" s="1">
        <v>61.05</v>
      </c>
      <c r="C1210" s="1" t="s">
        <v>1221</v>
      </c>
      <c r="D1210" s="3">
        <f t="shared" si="132"/>
        <v>1909.7692029</v>
      </c>
      <c r="E1210" s="1">
        <v>30.916499999999999</v>
      </c>
      <c r="F1210" s="1">
        <v>72.603700000000003</v>
      </c>
      <c r="G1210" s="1">
        <v>6.8441999999999998</v>
      </c>
      <c r="H1210" s="1">
        <v>5.5095000000000001</v>
      </c>
      <c r="I1210" s="1">
        <v>50.2423</v>
      </c>
      <c r="J1210" s="1">
        <f t="shared" si="128"/>
        <v>49.067473</v>
      </c>
      <c r="K1210" s="1">
        <v>6.4995600000000024</v>
      </c>
      <c r="L1210" s="1">
        <f t="shared" si="129"/>
        <v>3.3505039325842709</v>
      </c>
      <c r="M1210" s="1">
        <v>-221.35318000000001</v>
      </c>
      <c r="N1210" s="1">
        <v>-28.51567</v>
      </c>
    </row>
    <row r="1211" spans="1:14" x14ac:dyDescent="0.4">
      <c r="B1211" s="1">
        <v>61.1</v>
      </c>
      <c r="C1211" s="1" t="s">
        <v>1222</v>
      </c>
      <c r="D1211" s="3">
        <f t="shared" si="132"/>
        <v>1909.6922797999998</v>
      </c>
      <c r="E1211" s="1">
        <v>161.43010000000001</v>
      </c>
      <c r="F1211" s="1">
        <v>21.348099999999999</v>
      </c>
      <c r="G1211" s="1">
        <v>12.433299999999999</v>
      </c>
      <c r="H1211" s="1">
        <v>24.233699999999999</v>
      </c>
      <c r="I1211" s="1">
        <v>116.9551</v>
      </c>
      <c r="J1211" s="1">
        <f t="shared" si="128"/>
        <v>110.82075620000001</v>
      </c>
      <c r="K1211" s="1">
        <v>7.7294100000000014</v>
      </c>
      <c r="L1211" s="1">
        <f t="shared" si="129"/>
        <v>99.171248202247199</v>
      </c>
      <c r="M1211" s="1">
        <v>-226.67177000000001</v>
      </c>
      <c r="N1211" s="1">
        <v>-29.23893</v>
      </c>
    </row>
    <row r="1212" spans="1:14" x14ac:dyDescent="0.4">
      <c r="B1212" s="1">
        <v>61.15</v>
      </c>
      <c r="C1212" s="1" t="s">
        <v>1223</v>
      </c>
      <c r="D1212" s="3">
        <f t="shared" si="132"/>
        <v>1909.6153566999999</v>
      </c>
      <c r="E1212" s="1">
        <v>125.14570000000001</v>
      </c>
      <c r="F1212" s="1">
        <v>48.983699999999999</v>
      </c>
      <c r="G1212" s="1">
        <v>4.2515000000000001</v>
      </c>
      <c r="H1212" s="1">
        <v>9.5451999999999995</v>
      </c>
      <c r="I1212" s="1">
        <v>32.749099999999999</v>
      </c>
      <c r="J1212" s="1">
        <f t="shared" si="128"/>
        <v>27.993563399999999</v>
      </c>
      <c r="K1212" s="1">
        <v>8.9211899999999957</v>
      </c>
      <c r="L1212" s="1">
        <f t="shared" si="129"/>
        <v>109.41897898876405</v>
      </c>
      <c r="M1212" s="1">
        <v>-230.06464</v>
      </c>
      <c r="N1212" s="1">
        <v>-29.61402</v>
      </c>
    </row>
    <row r="1213" spans="1:14" x14ac:dyDescent="0.4">
      <c r="B1213" s="1">
        <v>61.2</v>
      </c>
      <c r="C1213" s="1" t="s">
        <v>1224</v>
      </c>
      <c r="D1213" s="3">
        <f t="shared" si="132"/>
        <v>1909.5384336</v>
      </c>
      <c r="E1213" s="1">
        <v>135.02070000000001</v>
      </c>
      <c r="F1213" s="1">
        <v>22.038499999999999</v>
      </c>
      <c r="G1213" s="1">
        <v>37.722099999999998</v>
      </c>
      <c r="H1213" s="1">
        <v>13.6914</v>
      </c>
      <c r="I1213" s="1">
        <v>140.01439999999999</v>
      </c>
      <c r="J1213" s="1">
        <f t="shared" si="128"/>
        <v>134.8836134</v>
      </c>
      <c r="K1213" s="1">
        <v>6.7721799999999917</v>
      </c>
      <c r="L1213" s="1">
        <f t="shared" si="129"/>
        <v>59.243389101123597</v>
      </c>
      <c r="M1213" s="1">
        <v>-229.91336000000001</v>
      </c>
      <c r="N1213" s="1">
        <v>-29.63758</v>
      </c>
    </row>
    <row r="1214" spans="1:14" x14ac:dyDescent="0.4">
      <c r="B1214" s="1">
        <v>61.25</v>
      </c>
      <c r="C1214" s="1" t="s">
        <v>1225</v>
      </c>
      <c r="D1214" s="3">
        <f t="shared" si="132"/>
        <v>1909.4615104999998</v>
      </c>
      <c r="E1214" s="1">
        <v>52.688499999999998</v>
      </c>
      <c r="F1214" s="1">
        <v>32.676900000000003</v>
      </c>
      <c r="G1214" s="1">
        <v>4.2343000000000002</v>
      </c>
      <c r="H1214" s="1">
        <v>3.9498000000000002</v>
      </c>
      <c r="I1214" s="1">
        <v>36.768099999999997</v>
      </c>
      <c r="J1214" s="1">
        <f t="shared" si="128"/>
        <v>34.765936999999994</v>
      </c>
      <c r="K1214" s="1">
        <v>7.2396699999999896</v>
      </c>
      <c r="L1214" s="1">
        <f t="shared" si="129"/>
        <v>33.157074719101125</v>
      </c>
      <c r="M1214" s="1">
        <v>-206.14514</v>
      </c>
      <c r="N1214" s="1">
        <v>-27.000959999999999</v>
      </c>
    </row>
    <row r="1215" spans="1:14" x14ac:dyDescent="0.4">
      <c r="B1215" s="1">
        <v>61.3</v>
      </c>
      <c r="C1215" s="1" t="s">
        <v>1226</v>
      </c>
      <c r="D1215" s="3">
        <f t="shared" si="132"/>
        <v>1909.3845873999999</v>
      </c>
      <c r="E1215" s="1">
        <v>72.137100000000004</v>
      </c>
      <c r="F1215" s="1">
        <v>18.285</v>
      </c>
      <c r="G1215" s="1">
        <v>6.0498000000000003</v>
      </c>
      <c r="H1215" s="1">
        <v>15.5406</v>
      </c>
      <c r="I1215" s="1">
        <v>96.934299999999993</v>
      </c>
      <c r="J1215" s="1">
        <f t="shared" si="128"/>
        <v>94.1930902</v>
      </c>
      <c r="K1215" s="1">
        <v>6.8475200000000029</v>
      </c>
      <c r="L1215" s="1">
        <f t="shared" si="129"/>
        <v>19.21963359550562</v>
      </c>
      <c r="M1215" s="1">
        <v>-204.64596</v>
      </c>
      <c r="N1215" s="1">
        <v>-26.863099999999999</v>
      </c>
    </row>
    <row r="1216" spans="1:14" x14ac:dyDescent="0.4">
      <c r="B1216" s="1">
        <v>61.35</v>
      </c>
      <c r="C1216" s="1" t="s">
        <v>1227</v>
      </c>
      <c r="D1216" s="3">
        <f t="shared" si="132"/>
        <v>1909.3076642999999</v>
      </c>
      <c r="E1216" s="1">
        <v>81.298000000000002</v>
      </c>
      <c r="F1216" s="1">
        <v>9.0844000000000005</v>
      </c>
      <c r="G1216" s="1">
        <v>6.2192999999999996</v>
      </c>
      <c r="H1216" s="1">
        <v>11.946199999999999</v>
      </c>
      <c r="I1216" s="1">
        <v>69.865799999999993</v>
      </c>
      <c r="J1216" s="1">
        <f t="shared" si="128"/>
        <v>66.776475999999988</v>
      </c>
      <c r="K1216" s="1">
        <v>7.187279999999987</v>
      </c>
      <c r="L1216" s="1">
        <f t="shared" si="129"/>
        <v>43.783125842696641</v>
      </c>
      <c r="M1216" s="1">
        <v>-212.94747000000001</v>
      </c>
      <c r="N1216" s="1">
        <v>-27.65926</v>
      </c>
    </row>
    <row r="1217" spans="1:14" x14ac:dyDescent="0.4">
      <c r="B1217" s="1">
        <v>61.4</v>
      </c>
      <c r="C1217" s="1" t="s">
        <v>1228</v>
      </c>
      <c r="D1217" s="3">
        <f t="shared" si="132"/>
        <v>1909.2307412</v>
      </c>
      <c r="E1217" s="1">
        <v>315.5675</v>
      </c>
      <c r="F1217" s="1">
        <v>29.1052</v>
      </c>
      <c r="G1217" s="1">
        <v>13.9787</v>
      </c>
      <c r="H1217" s="1">
        <v>40.654600000000002</v>
      </c>
      <c r="I1217" s="1">
        <v>84.114800000000002</v>
      </c>
      <c r="J1217" s="1">
        <f t="shared" si="128"/>
        <v>72.123235000000008</v>
      </c>
      <c r="K1217" s="1">
        <v>9.8625399999999956</v>
      </c>
      <c r="L1217" s="1">
        <f t="shared" si="129"/>
        <v>275.04882865168537</v>
      </c>
      <c r="M1217" s="1">
        <v>-221.17341999999999</v>
      </c>
      <c r="N1217" s="1">
        <v>-28.441020000000002</v>
      </c>
    </row>
    <row r="1218" spans="1:14" x14ac:dyDescent="0.4">
      <c r="B1218" s="1">
        <v>61.5</v>
      </c>
      <c r="C1218" s="1" t="s">
        <v>1229</v>
      </c>
      <c r="D1218" s="3">
        <f t="shared" si="132"/>
        <v>1909.0768949999999</v>
      </c>
      <c r="E1218" s="1">
        <v>38.892400000000002</v>
      </c>
      <c r="F1218" s="1">
        <v>16.750399999999999</v>
      </c>
      <c r="G1218" s="1">
        <v>3.4817</v>
      </c>
      <c r="H1218" s="1">
        <v>8.0318000000000005</v>
      </c>
      <c r="I1218" s="1">
        <v>120.7329</v>
      </c>
      <c r="J1218" s="1">
        <f t="shared" si="128"/>
        <v>119.25498880000001</v>
      </c>
      <c r="K1218" s="1">
        <v>10.258839999999992</v>
      </c>
      <c r="L1218" s="1">
        <f t="shared" si="129"/>
        <v>-28.104784719101126</v>
      </c>
      <c r="M1218" s="1">
        <v>-233.42017000000001</v>
      </c>
      <c r="N1218" s="1">
        <v>-29.845549999999999</v>
      </c>
    </row>
    <row r="1219" spans="1:14" x14ac:dyDescent="0.4">
      <c r="A1219" s="1">
        <v>1909</v>
      </c>
      <c r="B1219" s="1">
        <v>61.55</v>
      </c>
      <c r="C1219" s="1" t="s">
        <v>1230</v>
      </c>
      <c r="D1219" s="3">
        <f>-1.818182*B1219+2020.909091</f>
        <v>1908.9999889000001</v>
      </c>
      <c r="E1219" s="1">
        <v>107.98869999999999</v>
      </c>
      <c r="F1219" s="1">
        <v>60.608199999999997</v>
      </c>
      <c r="G1219" s="1">
        <v>23.8062</v>
      </c>
      <c r="H1219" s="1">
        <v>19.6035</v>
      </c>
      <c r="I1219" s="1">
        <v>114.4952</v>
      </c>
      <c r="J1219" s="1">
        <f t="shared" ref="J1219:J1282" si="133">I1219-0.038*E1219</f>
        <v>110.3916294</v>
      </c>
      <c r="K1219" s="1">
        <v>8.3266099999999881</v>
      </c>
      <c r="L1219" s="1">
        <f t="shared" ref="L1219:L1282" si="134">E1219-(J1219/1.78)</f>
        <v>45.970930674157302</v>
      </c>
      <c r="M1219" s="1">
        <v>-237.05217999999999</v>
      </c>
      <c r="N1219" s="1">
        <v>-30.394760000000002</v>
      </c>
    </row>
    <row r="1220" spans="1:14" x14ac:dyDescent="0.4">
      <c r="B1220" s="1">
        <v>61.6</v>
      </c>
      <c r="C1220" s="1" t="s">
        <v>1231</v>
      </c>
      <c r="D1220" s="3">
        <f t="shared" ref="D1220:D1229" si="135">-1.818182*B1220+2020.909091</f>
        <v>1908.9090798</v>
      </c>
      <c r="E1220" s="1">
        <v>126.28700000000001</v>
      </c>
      <c r="F1220" s="1">
        <v>16.712900000000001</v>
      </c>
      <c r="G1220" s="1">
        <v>10.939399999999999</v>
      </c>
      <c r="H1220" s="1">
        <v>19.918900000000001</v>
      </c>
      <c r="I1220" s="1">
        <v>82.394400000000005</v>
      </c>
      <c r="J1220" s="1">
        <f t="shared" si="133"/>
        <v>77.595494000000002</v>
      </c>
      <c r="K1220" s="1">
        <v>6.3547400000000209</v>
      </c>
      <c r="L1220" s="1">
        <f t="shared" si="134"/>
        <v>82.694025842696632</v>
      </c>
      <c r="M1220" s="1">
        <v>-250.69999000000001</v>
      </c>
      <c r="N1220" s="1">
        <v>-32.180509999999998</v>
      </c>
    </row>
    <row r="1221" spans="1:14" x14ac:dyDescent="0.4">
      <c r="B1221" s="1">
        <v>61.65</v>
      </c>
      <c r="C1221" s="1" t="s">
        <v>1232</v>
      </c>
      <c r="D1221" s="3">
        <f t="shared" si="135"/>
        <v>1908.8181706999999</v>
      </c>
      <c r="E1221" s="1">
        <v>107.1623</v>
      </c>
      <c r="F1221" s="1">
        <v>55.561599999999999</v>
      </c>
      <c r="G1221" s="1">
        <v>11.873100000000001</v>
      </c>
      <c r="H1221" s="1">
        <v>9.3628999999999998</v>
      </c>
      <c r="I1221" s="1">
        <v>70.120800000000003</v>
      </c>
      <c r="J1221" s="1">
        <f t="shared" si="133"/>
        <v>66.048632600000005</v>
      </c>
      <c r="K1221" s="1">
        <v>5.3442299999999818</v>
      </c>
      <c r="L1221" s="1">
        <f t="shared" si="134"/>
        <v>70.056326629213487</v>
      </c>
      <c r="M1221" s="1">
        <v>-259.29739000000001</v>
      </c>
      <c r="N1221" s="1">
        <v>-33.11927</v>
      </c>
    </row>
    <row r="1222" spans="1:14" x14ac:dyDescent="0.4">
      <c r="B1222" s="1">
        <v>61.7</v>
      </c>
      <c r="C1222" s="1" t="s">
        <v>1233</v>
      </c>
      <c r="D1222" s="3">
        <f t="shared" si="135"/>
        <v>1908.7272616</v>
      </c>
      <c r="E1222" s="1">
        <v>49.005800000000001</v>
      </c>
      <c r="F1222" s="1">
        <v>18.359400000000001</v>
      </c>
      <c r="G1222" s="1">
        <v>13.992599999999999</v>
      </c>
      <c r="H1222" s="1">
        <v>17.561199999999999</v>
      </c>
      <c r="I1222" s="1">
        <v>144.94139999999999</v>
      </c>
      <c r="J1222" s="1">
        <f t="shared" si="133"/>
        <v>143.07917959999997</v>
      </c>
      <c r="K1222" s="1">
        <v>6.1059000000000196</v>
      </c>
      <c r="L1222" s="1">
        <f t="shared" si="134"/>
        <v>-31.375761573033692</v>
      </c>
      <c r="M1222" s="1">
        <v>-263.23550999999998</v>
      </c>
      <c r="N1222" s="1">
        <v>-33.607399999999998</v>
      </c>
    </row>
    <row r="1223" spans="1:14" x14ac:dyDescent="0.4">
      <c r="B1223" s="1">
        <v>61.75</v>
      </c>
      <c r="C1223" s="1" t="s">
        <v>1234</v>
      </c>
      <c r="D1223" s="3">
        <f t="shared" si="135"/>
        <v>1908.6363524999999</v>
      </c>
      <c r="E1223" s="1">
        <v>55.360599999999998</v>
      </c>
      <c r="F1223" s="1">
        <v>76.233599999999996</v>
      </c>
      <c r="G1223" s="1">
        <v>8.4632000000000005</v>
      </c>
      <c r="H1223" s="1">
        <v>6.4656000000000002</v>
      </c>
      <c r="I1223" s="1">
        <v>84.235900000000001</v>
      </c>
      <c r="J1223" s="1">
        <f t="shared" si="133"/>
        <v>82.132197200000007</v>
      </c>
      <c r="K1223" s="1">
        <v>6.7440899999999715</v>
      </c>
      <c r="L1223" s="1">
        <f t="shared" si="134"/>
        <v>9.2189161797752774</v>
      </c>
      <c r="M1223" s="1">
        <v>-264.02710999999999</v>
      </c>
      <c r="N1223" s="1">
        <v>-33.744399999999999</v>
      </c>
    </row>
    <row r="1224" spans="1:14" x14ac:dyDescent="0.4">
      <c r="B1224" s="1">
        <v>61.8</v>
      </c>
      <c r="C1224" s="1" t="s">
        <v>1235</v>
      </c>
      <c r="D1224" s="3">
        <f t="shared" si="135"/>
        <v>1908.5454434000001</v>
      </c>
      <c r="E1224" s="1">
        <v>277.4941</v>
      </c>
      <c r="F1224" s="1">
        <v>13.549300000000001</v>
      </c>
      <c r="G1224" s="1">
        <v>14.2456</v>
      </c>
      <c r="H1224" s="1">
        <v>23.4025</v>
      </c>
      <c r="I1224" s="1">
        <v>129.47499999999999</v>
      </c>
      <c r="J1224" s="1">
        <f t="shared" si="133"/>
        <v>118.9302242</v>
      </c>
      <c r="K1224" s="1">
        <v>5.6567699999999945</v>
      </c>
      <c r="L1224" s="1">
        <f t="shared" si="134"/>
        <v>210.67936730337078</v>
      </c>
      <c r="M1224" s="1">
        <v>-254.32119</v>
      </c>
      <c r="N1224" s="1">
        <v>-32.632730000000002</v>
      </c>
    </row>
    <row r="1225" spans="1:14" x14ac:dyDescent="0.4">
      <c r="B1225" s="1">
        <v>61.85</v>
      </c>
      <c r="C1225" s="1" t="s">
        <v>1236</v>
      </c>
      <c r="D1225" s="3">
        <f t="shared" si="135"/>
        <v>1908.4545343</v>
      </c>
      <c r="E1225" s="1">
        <v>64.485600000000005</v>
      </c>
      <c r="F1225" s="1">
        <v>64.835999999999999</v>
      </c>
      <c r="G1225" s="1">
        <v>9.5687999999999995</v>
      </c>
      <c r="H1225" s="1">
        <v>7.5399000000000003</v>
      </c>
      <c r="I1225" s="1">
        <v>60.191600000000001</v>
      </c>
      <c r="J1225" s="1">
        <f t="shared" si="133"/>
        <v>57.7411472</v>
      </c>
      <c r="K1225" s="1">
        <v>5.6236900000000105</v>
      </c>
      <c r="L1225" s="1">
        <f t="shared" si="134"/>
        <v>32.046753258426975</v>
      </c>
      <c r="M1225" s="1">
        <v>-237.03210000000001</v>
      </c>
      <c r="N1225" s="1">
        <v>-30.655560000000001</v>
      </c>
    </row>
    <row r="1226" spans="1:14" x14ac:dyDescent="0.4">
      <c r="B1226" s="1">
        <v>61.899999999999899</v>
      </c>
      <c r="C1226" s="1" t="s">
        <v>1237</v>
      </c>
      <c r="D1226" s="3">
        <f t="shared" si="135"/>
        <v>1908.3636252000001</v>
      </c>
      <c r="E1226" s="1">
        <v>14.542199999999999</v>
      </c>
      <c r="F1226" s="1">
        <v>19.1052</v>
      </c>
      <c r="G1226" s="1">
        <v>1.8962000000000001</v>
      </c>
      <c r="H1226" s="1">
        <v>7.0366</v>
      </c>
      <c r="I1226" s="1">
        <v>108.3052</v>
      </c>
      <c r="J1226" s="1">
        <f t="shared" si="133"/>
        <v>107.7525964</v>
      </c>
      <c r="K1226" s="1">
        <v>5.9280899999999974</v>
      </c>
      <c r="L1226" s="1">
        <f t="shared" si="134"/>
        <v>-45.992966516853933</v>
      </c>
      <c r="M1226" s="1">
        <v>-232.30829</v>
      </c>
      <c r="N1226" s="1">
        <v>-30.030460000000001</v>
      </c>
    </row>
    <row r="1227" spans="1:14" x14ac:dyDescent="0.4">
      <c r="B1227" s="1">
        <v>61.949999999999903</v>
      </c>
      <c r="C1227" s="1" t="s">
        <v>1238</v>
      </c>
      <c r="D1227" s="3">
        <f t="shared" si="135"/>
        <v>1908.2727161000003</v>
      </c>
      <c r="E1227" s="1">
        <v>15.1784</v>
      </c>
      <c r="F1227" s="1">
        <v>34.9651</v>
      </c>
      <c r="G1227" s="1">
        <v>4.3078000000000003</v>
      </c>
      <c r="H1227" s="1">
        <v>1.9864999999999999</v>
      </c>
      <c r="I1227" s="1">
        <v>56.244599999999998</v>
      </c>
      <c r="J1227" s="1">
        <f t="shared" si="133"/>
        <v>55.667820800000001</v>
      </c>
      <c r="K1227" s="1">
        <v>6.7406500000000165</v>
      </c>
      <c r="L1227" s="1">
        <f t="shared" si="134"/>
        <v>-16.095656629213483</v>
      </c>
      <c r="M1227" s="1">
        <v>-229.88837000000001</v>
      </c>
      <c r="N1227" s="1">
        <v>-29.815919999999998</v>
      </c>
    </row>
    <row r="1228" spans="1:14" x14ac:dyDescent="0.4">
      <c r="B1228" s="1">
        <v>61.999999999999901</v>
      </c>
      <c r="C1228" s="1" t="s">
        <v>1239</v>
      </c>
      <c r="D1228" s="3">
        <f t="shared" si="135"/>
        <v>1908.1818070000002</v>
      </c>
      <c r="E1228" s="1">
        <v>36.687899999999999</v>
      </c>
      <c r="F1228" s="1">
        <v>16.103999999999999</v>
      </c>
      <c r="G1228" s="1">
        <v>3.6880000000000002</v>
      </c>
      <c r="H1228" s="1">
        <v>14.372</v>
      </c>
      <c r="I1228" s="1">
        <v>117.4546</v>
      </c>
      <c r="J1228" s="1">
        <f t="shared" si="133"/>
        <v>116.0604598</v>
      </c>
      <c r="K1228" s="1">
        <v>8.212379999999996</v>
      </c>
      <c r="L1228" s="1">
        <f t="shared" si="134"/>
        <v>-28.514605505617979</v>
      </c>
      <c r="M1228" s="1">
        <v>-231.11887999999999</v>
      </c>
      <c r="N1228" s="1">
        <v>-29.72383</v>
      </c>
    </row>
    <row r="1229" spans="1:14" x14ac:dyDescent="0.4">
      <c r="B1229" s="1">
        <v>62.049999999999898</v>
      </c>
      <c r="C1229" s="1" t="s">
        <v>1240</v>
      </c>
      <c r="D1229" s="3">
        <f t="shared" si="135"/>
        <v>1908.0908979000001</v>
      </c>
      <c r="E1229" s="1">
        <v>52.214799999999997</v>
      </c>
      <c r="F1229" s="1">
        <v>35.614800000000002</v>
      </c>
      <c r="G1229" s="1">
        <v>3.6012</v>
      </c>
      <c r="H1229" s="1">
        <v>3.7515000000000001</v>
      </c>
      <c r="I1229" s="1">
        <v>32.533799999999999</v>
      </c>
      <c r="J1229" s="1">
        <f t="shared" si="133"/>
        <v>30.549637600000001</v>
      </c>
      <c r="K1229" s="1">
        <v>7.9353900000000124</v>
      </c>
      <c r="L1229" s="1">
        <f t="shared" si="134"/>
        <v>35.052082247191009</v>
      </c>
      <c r="M1229" s="1">
        <v>-232.98702</v>
      </c>
      <c r="N1229" s="1">
        <v>-30.091529999999999</v>
      </c>
    </row>
    <row r="1230" spans="1:14" x14ac:dyDescent="0.4">
      <c r="A1230" s="1">
        <v>1908</v>
      </c>
      <c r="B1230" s="1">
        <v>62.099999999999902</v>
      </c>
      <c r="C1230" s="1" t="s">
        <v>1241</v>
      </c>
      <c r="D1230" s="3">
        <f>-2*B1230+2032.2</f>
        <v>1908.0000000000002</v>
      </c>
      <c r="E1230" s="1">
        <v>58.753599999999999</v>
      </c>
      <c r="F1230" s="1">
        <v>17.709099999999999</v>
      </c>
      <c r="G1230" s="1">
        <v>3.0849000000000002</v>
      </c>
      <c r="H1230" s="1">
        <v>13.133699999999999</v>
      </c>
      <c r="I1230" s="1">
        <v>111.86279999999999</v>
      </c>
      <c r="J1230" s="1">
        <f t="shared" si="133"/>
        <v>109.6301632</v>
      </c>
      <c r="K1230" s="1">
        <v>8.6389899999999784</v>
      </c>
      <c r="L1230" s="1">
        <f t="shared" si="134"/>
        <v>-2.8363793258426995</v>
      </c>
      <c r="M1230" s="1">
        <v>-235.37232</v>
      </c>
      <c r="N1230" s="1">
        <v>-30.57347</v>
      </c>
    </row>
    <row r="1231" spans="1:14" x14ac:dyDescent="0.4">
      <c r="B1231" s="1">
        <v>62.149999999999899</v>
      </c>
      <c r="C1231" s="1" t="s">
        <v>1242</v>
      </c>
      <c r="D1231" s="3">
        <f t="shared" ref="D1231:D1239" si="136">-2*B1231+2032.2</f>
        <v>1907.9000000000003</v>
      </c>
      <c r="E1231" s="1">
        <v>44.890799999999999</v>
      </c>
      <c r="F1231" s="1">
        <v>43.535600000000002</v>
      </c>
      <c r="G1231" s="1">
        <v>5.1592000000000002</v>
      </c>
      <c r="H1231" s="1">
        <v>4.1330999999999998</v>
      </c>
      <c r="I1231" s="1">
        <v>50.517000000000003</v>
      </c>
      <c r="J1231" s="1">
        <f t="shared" si="133"/>
        <v>48.8111496</v>
      </c>
      <c r="K1231" s="1">
        <v>6.6717600000000061</v>
      </c>
      <c r="L1231" s="1">
        <f t="shared" si="134"/>
        <v>17.468805842696629</v>
      </c>
      <c r="M1231" s="1">
        <v>-236.99068</v>
      </c>
      <c r="N1231" s="1">
        <v>-30.68599</v>
      </c>
    </row>
    <row r="1232" spans="1:14" x14ac:dyDescent="0.4">
      <c r="B1232" s="1">
        <v>62.199999999999903</v>
      </c>
      <c r="C1232" s="1" t="s">
        <v>1243</v>
      </c>
      <c r="D1232" s="3">
        <f t="shared" si="136"/>
        <v>1907.8000000000002</v>
      </c>
      <c r="E1232" s="1">
        <v>60.542400000000001</v>
      </c>
      <c r="F1232" s="1">
        <v>10.462400000000001</v>
      </c>
      <c r="G1232" s="1">
        <v>4.6784999999999997</v>
      </c>
      <c r="H1232" s="1">
        <v>13.0372</v>
      </c>
      <c r="I1232" s="1">
        <v>115.2984</v>
      </c>
      <c r="J1232" s="1">
        <f t="shared" si="133"/>
        <v>112.9977888</v>
      </c>
      <c r="K1232" s="1">
        <v>7.7452199999999891</v>
      </c>
      <c r="L1232" s="1">
        <f t="shared" si="134"/>
        <v>-2.939503820224715</v>
      </c>
      <c r="M1232" s="1">
        <v>-243.14777000000001</v>
      </c>
      <c r="N1232" s="1">
        <v>-31.486789999999999</v>
      </c>
    </row>
    <row r="1233" spans="1:14" x14ac:dyDescent="0.4">
      <c r="B1233" s="1">
        <v>62.249999999999901</v>
      </c>
      <c r="C1233" s="1" t="s">
        <v>1244</v>
      </c>
      <c r="D1233" s="3">
        <f t="shared" si="136"/>
        <v>1907.7000000000003</v>
      </c>
      <c r="E1233" s="1">
        <v>29.4922</v>
      </c>
      <c r="F1233" s="1">
        <v>43.773000000000003</v>
      </c>
      <c r="G1233" s="1">
        <v>3.7332000000000001</v>
      </c>
      <c r="H1233" s="1">
        <v>4.5909000000000004</v>
      </c>
      <c r="I1233" s="1">
        <v>84.008499999999998</v>
      </c>
      <c r="J1233" s="1">
        <f t="shared" si="133"/>
        <v>82.887796399999999</v>
      </c>
      <c r="K1233" s="1">
        <v>9.215440000000001</v>
      </c>
      <c r="L1233" s="1">
        <f t="shared" si="134"/>
        <v>-17.07397775280899</v>
      </c>
      <c r="M1233" s="1">
        <v>-245.35024999999999</v>
      </c>
      <c r="N1233" s="1">
        <v>-31.85464</v>
      </c>
    </row>
    <row r="1234" spans="1:14" x14ac:dyDescent="0.4">
      <c r="B1234" s="1">
        <v>62.299999999999898</v>
      </c>
      <c r="C1234" s="1" t="s">
        <v>1245</v>
      </c>
      <c r="D1234" s="3">
        <f t="shared" si="136"/>
        <v>1907.6000000000004</v>
      </c>
      <c r="E1234" s="1">
        <v>42.941299999999998</v>
      </c>
      <c r="F1234" s="1">
        <v>28.391400000000001</v>
      </c>
      <c r="G1234" s="1">
        <v>3.6095999999999999</v>
      </c>
      <c r="H1234" s="1">
        <v>15.0251</v>
      </c>
      <c r="I1234" s="1">
        <v>156.78380000000001</v>
      </c>
      <c r="J1234" s="1">
        <f t="shared" si="133"/>
        <v>155.15203060000002</v>
      </c>
      <c r="K1234" s="1">
        <v>8.497240000000005</v>
      </c>
      <c r="L1234" s="1">
        <f t="shared" si="134"/>
        <v>-44.22276213483147</v>
      </c>
      <c r="M1234" s="1">
        <v>-238.44626</v>
      </c>
      <c r="N1234" s="1">
        <v>-31.121259999999999</v>
      </c>
    </row>
    <row r="1235" spans="1:14" x14ac:dyDescent="0.4">
      <c r="B1235" s="1">
        <v>62.349999999999902</v>
      </c>
      <c r="C1235" s="1" t="s">
        <v>1246</v>
      </c>
      <c r="D1235" s="3">
        <f t="shared" si="136"/>
        <v>1907.5000000000002</v>
      </c>
      <c r="E1235" s="1">
        <v>52.032600000000002</v>
      </c>
      <c r="F1235" s="1">
        <v>51.770099999999999</v>
      </c>
      <c r="G1235" s="1">
        <v>6.1055000000000001</v>
      </c>
      <c r="H1235" s="1">
        <v>17.339099999999998</v>
      </c>
      <c r="I1235" s="1">
        <v>53.307000000000002</v>
      </c>
      <c r="J1235" s="1">
        <f t="shared" si="133"/>
        <v>51.3297612</v>
      </c>
      <c r="K1235" s="1">
        <v>8.7465499999999849</v>
      </c>
      <c r="L1235" s="1">
        <f t="shared" si="134"/>
        <v>23.195655505617982</v>
      </c>
      <c r="M1235" s="1">
        <v>-235.66972000000001</v>
      </c>
      <c r="N1235" s="1">
        <v>-30.745480000000001</v>
      </c>
    </row>
    <row r="1236" spans="1:14" x14ac:dyDescent="0.4">
      <c r="B1236" s="1">
        <v>62.399999999999899</v>
      </c>
      <c r="C1236" s="1" t="s">
        <v>1247</v>
      </c>
      <c r="D1236" s="3">
        <f t="shared" si="136"/>
        <v>1907.4000000000003</v>
      </c>
      <c r="E1236" s="1">
        <v>435.11439999999999</v>
      </c>
      <c r="F1236" s="1">
        <v>37.786700000000003</v>
      </c>
      <c r="G1236" s="1">
        <v>15.9137</v>
      </c>
      <c r="H1236" s="1">
        <v>52.216799999999999</v>
      </c>
      <c r="I1236" s="1">
        <v>137.1018</v>
      </c>
      <c r="J1236" s="1">
        <f t="shared" si="133"/>
        <v>120.5674528</v>
      </c>
      <c r="K1236" s="1">
        <v>9.4868700000000104</v>
      </c>
      <c r="L1236" s="1">
        <f t="shared" si="134"/>
        <v>367.37987595505615</v>
      </c>
      <c r="M1236" s="1">
        <v>-233.38976</v>
      </c>
      <c r="N1236" s="1">
        <v>-30.519590000000001</v>
      </c>
    </row>
    <row r="1237" spans="1:14" x14ac:dyDescent="0.4">
      <c r="B1237" s="1">
        <v>62.449999999999903</v>
      </c>
      <c r="C1237" s="1" t="s">
        <v>1248</v>
      </c>
      <c r="D1237" s="3">
        <f t="shared" si="136"/>
        <v>1907.3000000000002</v>
      </c>
      <c r="E1237" s="1">
        <v>67.903199999999998</v>
      </c>
      <c r="F1237" s="1">
        <v>26.55</v>
      </c>
      <c r="G1237" s="1">
        <v>4.8811</v>
      </c>
      <c r="H1237" s="1">
        <v>10.8256</v>
      </c>
      <c r="I1237" s="1">
        <v>117.00700000000001</v>
      </c>
      <c r="J1237" s="1">
        <f t="shared" si="133"/>
        <v>114.4266784</v>
      </c>
      <c r="K1237" s="1">
        <v>10.523820000000001</v>
      </c>
      <c r="L1237" s="1">
        <f t="shared" si="134"/>
        <v>3.6185492134831492</v>
      </c>
      <c r="M1237" s="1">
        <v>-232.74956</v>
      </c>
      <c r="N1237" s="1">
        <v>-30.018080000000001</v>
      </c>
    </row>
    <row r="1238" spans="1:14" x14ac:dyDescent="0.4">
      <c r="B1238" s="1">
        <v>62.499999999999901</v>
      </c>
      <c r="C1238" s="1" t="s">
        <v>1249</v>
      </c>
      <c r="D1238" s="3">
        <f t="shared" si="136"/>
        <v>1907.2000000000003</v>
      </c>
      <c r="E1238" s="1">
        <v>74.276600000000002</v>
      </c>
      <c r="F1238" s="1">
        <v>40.057299999999998</v>
      </c>
      <c r="G1238" s="1">
        <v>3.6753999999999998</v>
      </c>
      <c r="H1238" s="1">
        <v>12.931100000000001</v>
      </c>
      <c r="I1238" s="1">
        <v>323.61160000000001</v>
      </c>
      <c r="J1238" s="1">
        <f t="shared" si="133"/>
        <v>320.78908920000003</v>
      </c>
      <c r="K1238" s="1">
        <v>10.294119999999992</v>
      </c>
      <c r="L1238" s="1">
        <f t="shared" si="134"/>
        <v>-105.94198943820226</v>
      </c>
      <c r="M1238" s="1">
        <v>-229.91904</v>
      </c>
      <c r="N1238" s="1">
        <v>-29.682649999999999</v>
      </c>
    </row>
    <row r="1239" spans="1:14" x14ac:dyDescent="0.4">
      <c r="B1239" s="1">
        <v>62.549999999999898</v>
      </c>
      <c r="C1239" s="1" t="s">
        <v>1250</v>
      </c>
      <c r="D1239" s="3">
        <f t="shared" si="136"/>
        <v>1907.1000000000004</v>
      </c>
      <c r="E1239" s="1">
        <v>129.83090000000001</v>
      </c>
      <c r="F1239" s="1">
        <v>13.6999</v>
      </c>
      <c r="G1239" s="1">
        <v>5.8582000000000001</v>
      </c>
      <c r="H1239" s="1">
        <v>16.950500000000002</v>
      </c>
      <c r="I1239" s="1">
        <v>103.4015</v>
      </c>
      <c r="J1239" s="1">
        <f t="shared" si="133"/>
        <v>98.467925800000003</v>
      </c>
      <c r="K1239" s="1">
        <v>10.766960000000012</v>
      </c>
      <c r="L1239" s="1">
        <f t="shared" si="134"/>
        <v>74.511840561797769</v>
      </c>
      <c r="M1239" s="1">
        <v>-229.80651</v>
      </c>
      <c r="N1239" s="1">
        <v>-29.607320000000001</v>
      </c>
    </row>
    <row r="1240" spans="1:14" x14ac:dyDescent="0.4">
      <c r="A1240" s="1">
        <v>1907</v>
      </c>
      <c r="B1240" s="1">
        <v>62.599999999999902</v>
      </c>
      <c r="C1240" s="1" t="s">
        <v>1251</v>
      </c>
      <c r="D1240" s="3">
        <f>-2.222222*B1240+2046.1111</f>
        <v>1907.0000028000004</v>
      </c>
      <c r="E1240" s="1">
        <v>194.5856</v>
      </c>
      <c r="F1240" s="1">
        <v>44.506300000000003</v>
      </c>
      <c r="G1240" s="1">
        <v>13.9849</v>
      </c>
      <c r="H1240" s="1">
        <v>24.4513</v>
      </c>
      <c r="I1240" s="1">
        <v>222.8802</v>
      </c>
      <c r="J1240" s="1">
        <f t="shared" si="133"/>
        <v>215.4859472</v>
      </c>
      <c r="K1240" s="1">
        <v>7.3950800000000072</v>
      </c>
      <c r="L1240" s="1">
        <f t="shared" si="134"/>
        <v>73.526079101123599</v>
      </c>
      <c r="M1240" s="1">
        <v>-230.76220000000001</v>
      </c>
      <c r="N1240" s="1">
        <v>-29.686810000000001</v>
      </c>
    </row>
    <row r="1241" spans="1:14" x14ac:dyDescent="0.4">
      <c r="B1241" s="1">
        <v>62.649999999999899</v>
      </c>
      <c r="C1241" s="1" t="s">
        <v>1252</v>
      </c>
      <c r="D1241" s="3">
        <f t="shared" ref="D1241:D1248" si="137">-2.222222*B1241+2046.1111</f>
        <v>1906.8888917000004</v>
      </c>
      <c r="E1241" s="1">
        <v>101.95529999999999</v>
      </c>
      <c r="F1241" s="1">
        <v>54.785699999999999</v>
      </c>
      <c r="G1241" s="1">
        <v>6.6665999999999999</v>
      </c>
      <c r="H1241" s="1">
        <v>9.9139999999999997</v>
      </c>
      <c r="I1241" s="1">
        <v>62.848799999999997</v>
      </c>
      <c r="J1241" s="1">
        <f t="shared" si="133"/>
        <v>58.974498599999997</v>
      </c>
      <c r="K1241" s="1">
        <v>7.5421599999999955</v>
      </c>
      <c r="L1241" s="1">
        <f t="shared" si="134"/>
        <v>68.823559213483151</v>
      </c>
      <c r="M1241" s="1">
        <v>-232.381</v>
      </c>
      <c r="N1241" s="1">
        <v>-29.96808</v>
      </c>
    </row>
    <row r="1242" spans="1:14" x14ac:dyDescent="0.4">
      <c r="B1242" s="1">
        <v>62.699999999999903</v>
      </c>
      <c r="C1242" s="1" t="s">
        <v>1253</v>
      </c>
      <c r="D1242" s="3">
        <f t="shared" si="137"/>
        <v>1906.7777806000004</v>
      </c>
      <c r="E1242" s="1">
        <v>52.481999999999999</v>
      </c>
      <c r="F1242" s="1">
        <v>42.880200000000002</v>
      </c>
      <c r="G1242" s="1">
        <v>5.3278999999999996</v>
      </c>
      <c r="H1242" s="1">
        <v>8.3123000000000005</v>
      </c>
      <c r="I1242" s="1">
        <v>194.5325</v>
      </c>
      <c r="J1242" s="1">
        <f t="shared" si="133"/>
        <v>192.538184</v>
      </c>
      <c r="K1242" s="1">
        <v>7.0520500000000084</v>
      </c>
      <c r="L1242" s="1">
        <f t="shared" si="134"/>
        <v>-55.685519101123589</v>
      </c>
      <c r="M1242" s="1">
        <v>-234.00837999999999</v>
      </c>
      <c r="N1242" s="1">
        <v>-29.979320000000001</v>
      </c>
    </row>
    <row r="1243" spans="1:14" x14ac:dyDescent="0.4">
      <c r="B1243" s="1">
        <v>62.749999999999901</v>
      </c>
      <c r="C1243" s="1" t="s">
        <v>1254</v>
      </c>
      <c r="D1243" s="3">
        <f t="shared" si="137"/>
        <v>1906.6666695000004</v>
      </c>
      <c r="E1243" s="1">
        <v>67.707099999999997</v>
      </c>
      <c r="F1243" s="1">
        <v>36.4407</v>
      </c>
      <c r="G1243" s="1">
        <v>5.6477000000000004</v>
      </c>
      <c r="H1243" s="1">
        <v>14.263299999999999</v>
      </c>
      <c r="I1243" s="1">
        <v>158.17269999999999</v>
      </c>
      <c r="J1243" s="1">
        <f t="shared" si="133"/>
        <v>155.59983019999999</v>
      </c>
      <c r="K1243" s="1">
        <v>6.7322800000000029</v>
      </c>
      <c r="L1243" s="1">
        <f t="shared" si="134"/>
        <v>-19.708534943820212</v>
      </c>
      <c r="M1243" s="1">
        <v>-234.07445999999999</v>
      </c>
      <c r="N1243" s="1">
        <v>-30.011379999999999</v>
      </c>
    </row>
    <row r="1244" spans="1:14" x14ac:dyDescent="0.4">
      <c r="B1244" s="1">
        <v>62.799999999999898</v>
      </c>
      <c r="C1244" s="1" t="s">
        <v>1255</v>
      </c>
      <c r="D1244" s="3">
        <f t="shared" si="137"/>
        <v>1906.5555584000003</v>
      </c>
      <c r="E1244" s="1">
        <v>118.8775</v>
      </c>
      <c r="F1244" s="1">
        <v>19.3566</v>
      </c>
      <c r="G1244" s="1">
        <v>15.9602</v>
      </c>
      <c r="H1244" s="1">
        <v>24.012799999999999</v>
      </c>
      <c r="I1244" s="1">
        <v>296.81009999999998</v>
      </c>
      <c r="J1244" s="1">
        <f t="shared" si="133"/>
        <v>292.292755</v>
      </c>
      <c r="K1244" s="1">
        <v>7.3636400000000037</v>
      </c>
      <c r="L1244" s="1">
        <f t="shared" si="134"/>
        <v>-45.331912921348305</v>
      </c>
      <c r="M1244" s="1">
        <v>-235.39726999999999</v>
      </c>
      <c r="N1244" s="1">
        <v>-30.210599999999999</v>
      </c>
    </row>
    <row r="1245" spans="1:14" x14ac:dyDescent="0.4">
      <c r="B1245" s="1">
        <v>62.849999999999902</v>
      </c>
      <c r="C1245" s="1" t="s">
        <v>1256</v>
      </c>
      <c r="D1245" s="3">
        <f t="shared" si="137"/>
        <v>1906.4444473000003</v>
      </c>
      <c r="E1245" s="1">
        <v>115.8515</v>
      </c>
      <c r="F1245" s="1">
        <v>56.413200000000003</v>
      </c>
      <c r="G1245" s="1">
        <v>10.779</v>
      </c>
      <c r="H1245" s="1">
        <v>12.9086</v>
      </c>
      <c r="I1245" s="1">
        <v>156.5146</v>
      </c>
      <c r="J1245" s="1">
        <f t="shared" si="133"/>
        <v>152.11224300000001</v>
      </c>
      <c r="K1245" s="1">
        <v>5.8261800000000221</v>
      </c>
      <c r="L1245" s="1">
        <f t="shared" si="134"/>
        <v>30.395183707865172</v>
      </c>
      <c r="M1245" s="1">
        <v>-237.24259000000001</v>
      </c>
      <c r="N1245" s="1">
        <v>-30.403320000000001</v>
      </c>
    </row>
    <row r="1246" spans="1:14" x14ac:dyDescent="0.4">
      <c r="B1246" s="1">
        <v>62.899999999999899</v>
      </c>
      <c r="C1246" s="1" t="s">
        <v>1257</v>
      </c>
      <c r="D1246" s="3">
        <f t="shared" si="137"/>
        <v>1906.3333362000003</v>
      </c>
      <c r="E1246" s="1">
        <v>85.051100000000005</v>
      </c>
      <c r="F1246" s="1">
        <v>20.064800000000002</v>
      </c>
      <c r="G1246" s="1">
        <v>3.9224000000000001</v>
      </c>
      <c r="H1246" s="1">
        <v>15.183</v>
      </c>
      <c r="I1246" s="1">
        <v>127.9776</v>
      </c>
      <c r="J1246" s="1">
        <f t="shared" si="133"/>
        <v>124.74565819999999</v>
      </c>
      <c r="K1246" s="1">
        <v>6.0165800000000047</v>
      </c>
      <c r="L1246" s="1">
        <f t="shared" si="134"/>
        <v>14.969269550561805</v>
      </c>
      <c r="M1246" s="1">
        <v>-237.71789000000001</v>
      </c>
      <c r="N1246" s="1">
        <v>-30.502400000000002</v>
      </c>
    </row>
    <row r="1247" spans="1:14" x14ac:dyDescent="0.4">
      <c r="B1247" s="1">
        <v>62.949999999999903</v>
      </c>
      <c r="C1247" s="1" t="s">
        <v>1258</v>
      </c>
      <c r="D1247" s="3">
        <f t="shared" si="137"/>
        <v>1906.2222251000003</v>
      </c>
      <c r="E1247" s="1">
        <v>62.118600000000001</v>
      </c>
      <c r="F1247" s="1">
        <v>79.501900000000006</v>
      </c>
      <c r="G1247" s="1">
        <v>12.970800000000001</v>
      </c>
      <c r="H1247" s="1">
        <v>7.0476999999999999</v>
      </c>
      <c r="I1247" s="1">
        <v>242.90729999999999</v>
      </c>
      <c r="J1247" s="1">
        <f t="shared" si="133"/>
        <v>240.5467932</v>
      </c>
      <c r="K1247" s="1">
        <v>6.2875300000000038</v>
      </c>
      <c r="L1247" s="1">
        <f t="shared" si="134"/>
        <v>-73.020047865168536</v>
      </c>
      <c r="M1247" s="1">
        <v>-237.28120999999999</v>
      </c>
      <c r="N1247" s="1">
        <v>-30.46772</v>
      </c>
    </row>
    <row r="1248" spans="1:14" x14ac:dyDescent="0.4">
      <c r="B1248" s="1">
        <v>62.999999999999901</v>
      </c>
      <c r="C1248" s="1" t="s">
        <v>1259</v>
      </c>
      <c r="D1248" s="3">
        <f t="shared" si="137"/>
        <v>1906.1111140000003</v>
      </c>
      <c r="E1248" s="1">
        <v>52.935000000000002</v>
      </c>
      <c r="F1248" s="1">
        <v>2.9946999999999999</v>
      </c>
      <c r="G1248" s="1">
        <v>3.6657999999999999</v>
      </c>
      <c r="H1248" s="1">
        <v>29.4512</v>
      </c>
      <c r="I1248" s="1">
        <v>184.92160000000001</v>
      </c>
      <c r="J1248" s="1">
        <f t="shared" si="133"/>
        <v>182.91007000000002</v>
      </c>
      <c r="K1248" s="1">
        <v>5.9839699999999993</v>
      </c>
      <c r="L1248" s="1">
        <f t="shared" si="134"/>
        <v>-49.823466292134839</v>
      </c>
      <c r="M1248" s="1">
        <v>-233.23718</v>
      </c>
      <c r="N1248" s="1">
        <v>-29.63946</v>
      </c>
    </row>
    <row r="1249" spans="1:14" x14ac:dyDescent="0.4">
      <c r="A1249" s="1">
        <v>1906</v>
      </c>
      <c r="B1249" s="1">
        <v>63.049999999999898</v>
      </c>
      <c r="C1249" s="1" t="s">
        <v>1260</v>
      </c>
      <c r="D1249" s="3">
        <f>-1.428571*B1249+1996.071429</f>
        <v>1906.0000274500003</v>
      </c>
      <c r="E1249" s="1">
        <v>150.54900000000001</v>
      </c>
      <c r="F1249" s="1">
        <v>104.13509999999999</v>
      </c>
      <c r="G1249" s="1">
        <v>18.325099999999999</v>
      </c>
      <c r="H1249" s="1">
        <v>13.2347</v>
      </c>
      <c r="I1249" s="1">
        <v>125.53579999999999</v>
      </c>
      <c r="J1249" s="1">
        <f t="shared" si="133"/>
        <v>119.814938</v>
      </c>
      <c r="K1249" s="1">
        <v>6.3013100000000009</v>
      </c>
      <c r="L1249" s="1">
        <f t="shared" si="134"/>
        <v>83.237237078651688</v>
      </c>
      <c r="M1249" s="1">
        <v>-225.58083999999999</v>
      </c>
      <c r="N1249" s="1">
        <v>-29.390630000000002</v>
      </c>
    </row>
    <row r="1250" spans="1:14" x14ac:dyDescent="0.4">
      <c r="B1250" s="1">
        <v>63.099999999999902</v>
      </c>
      <c r="C1250" s="1" t="s">
        <v>1261</v>
      </c>
      <c r="D1250" s="3">
        <f t="shared" ref="D1250:D1287" si="138">-1.428571*B1250+1996.071429</f>
        <v>1905.9285989000002</v>
      </c>
      <c r="E1250" s="1">
        <v>73.304400000000001</v>
      </c>
      <c r="F1250" s="1">
        <v>15.5589</v>
      </c>
      <c r="G1250" s="1">
        <v>9.1418999999999997</v>
      </c>
      <c r="H1250" s="1">
        <v>10.842599999999999</v>
      </c>
      <c r="I1250" s="1">
        <v>337.70659999999998</v>
      </c>
      <c r="J1250" s="1">
        <f t="shared" si="133"/>
        <v>334.92103279999998</v>
      </c>
      <c r="K1250" s="1">
        <v>6.460550000000012</v>
      </c>
      <c r="L1250" s="1">
        <f t="shared" si="134"/>
        <v>-114.85348359550561</v>
      </c>
      <c r="M1250" s="1">
        <v>-226.03783999999999</v>
      </c>
      <c r="N1250" s="1">
        <v>-29.600999999999999</v>
      </c>
    </row>
    <row r="1251" spans="1:14" x14ac:dyDescent="0.4">
      <c r="B1251" s="1">
        <v>63.149999999999899</v>
      </c>
      <c r="C1251" s="1" t="s">
        <v>1262</v>
      </c>
      <c r="D1251" s="3">
        <f t="shared" si="138"/>
        <v>1905.8571703500002</v>
      </c>
      <c r="E1251" s="1">
        <v>166.11170000000001</v>
      </c>
      <c r="F1251" s="1">
        <v>71.377899999999997</v>
      </c>
      <c r="G1251" s="1">
        <v>14.7759</v>
      </c>
      <c r="H1251" s="1">
        <v>24.809699999999999</v>
      </c>
      <c r="I1251" s="1">
        <v>210.02359999999999</v>
      </c>
      <c r="J1251" s="1">
        <f t="shared" si="133"/>
        <v>203.71135539999997</v>
      </c>
      <c r="K1251" s="1">
        <v>3.8785000000000025</v>
      </c>
      <c r="L1251" s="1">
        <f t="shared" si="134"/>
        <v>51.667118314606768</v>
      </c>
      <c r="M1251" s="1">
        <v>-226.67841999999999</v>
      </c>
      <c r="N1251" s="1">
        <v>-29.63503</v>
      </c>
    </row>
    <row r="1252" spans="1:14" x14ac:dyDescent="0.4">
      <c r="B1252" s="1">
        <v>63.199999999999903</v>
      </c>
      <c r="C1252" s="1" t="s">
        <v>1263</v>
      </c>
      <c r="D1252" s="3">
        <f t="shared" si="138"/>
        <v>1905.7857418000003</v>
      </c>
      <c r="E1252" s="1">
        <v>156.99969999999999</v>
      </c>
      <c r="F1252" s="1">
        <v>13.783099999999999</v>
      </c>
      <c r="G1252" s="1">
        <v>9.6057000000000006</v>
      </c>
      <c r="H1252" s="1">
        <v>38.775799999999997</v>
      </c>
      <c r="I1252" s="1">
        <v>383.3732</v>
      </c>
      <c r="J1252" s="1">
        <f t="shared" si="133"/>
        <v>377.40721139999999</v>
      </c>
      <c r="K1252" s="1">
        <v>9.5442000000000178</v>
      </c>
      <c r="L1252" s="1">
        <f t="shared" si="134"/>
        <v>-55.026823258426958</v>
      </c>
      <c r="M1252" s="1">
        <v>-238.09079</v>
      </c>
      <c r="N1252" s="1">
        <v>-30.832719999999998</v>
      </c>
    </row>
    <row r="1253" spans="1:14" x14ac:dyDescent="0.4">
      <c r="B1253" s="1">
        <v>63.249999999999901</v>
      </c>
      <c r="C1253" s="1" t="s">
        <v>1264</v>
      </c>
      <c r="D1253" s="3">
        <f t="shared" si="138"/>
        <v>1905.7143132500003</v>
      </c>
      <c r="E1253" s="1">
        <v>19.4252</v>
      </c>
      <c r="F1253" s="1">
        <v>42.549500000000002</v>
      </c>
      <c r="G1253" s="1">
        <v>2.7145999999999999</v>
      </c>
      <c r="H1253" s="1">
        <v>3.1640000000000001</v>
      </c>
      <c r="I1253" s="1">
        <v>78.144300000000001</v>
      </c>
      <c r="J1253" s="1">
        <f t="shared" si="133"/>
        <v>77.406142400000007</v>
      </c>
      <c r="K1253" s="1">
        <v>10.770160000000004</v>
      </c>
      <c r="L1253" s="1">
        <f t="shared" si="134"/>
        <v>-24.061396853932589</v>
      </c>
      <c r="M1253" s="1">
        <v>-242.20884000000001</v>
      </c>
      <c r="N1253" s="1">
        <v>-31.304500000000001</v>
      </c>
    </row>
    <row r="1254" spans="1:14" x14ac:dyDescent="0.4">
      <c r="B1254" s="1">
        <v>63.299999999999898</v>
      </c>
      <c r="C1254" s="1" t="s">
        <v>1265</v>
      </c>
      <c r="D1254" s="3">
        <f t="shared" si="138"/>
        <v>1905.6428847000002</v>
      </c>
      <c r="E1254" s="1">
        <v>119.46429999999999</v>
      </c>
      <c r="F1254" s="1">
        <v>52.006900000000002</v>
      </c>
      <c r="G1254" s="1">
        <v>126.7176</v>
      </c>
      <c r="H1254" s="1">
        <v>13.314500000000001</v>
      </c>
      <c r="I1254" s="1">
        <v>152.95869999999999</v>
      </c>
      <c r="J1254" s="1">
        <f t="shared" si="133"/>
        <v>148.4190566</v>
      </c>
      <c r="K1254" s="1">
        <v>10.401820000000015</v>
      </c>
      <c r="L1254" s="1">
        <f t="shared" si="134"/>
        <v>36.082807528089887</v>
      </c>
      <c r="M1254" s="1">
        <v>-245.16968</v>
      </c>
      <c r="N1254" s="1">
        <v>-31.703569999999999</v>
      </c>
    </row>
    <row r="1255" spans="1:14" x14ac:dyDescent="0.4">
      <c r="B1255" s="1">
        <v>63.349999999999902</v>
      </c>
      <c r="C1255" s="1" t="s">
        <v>1266</v>
      </c>
      <c r="D1255" s="3">
        <f t="shared" si="138"/>
        <v>1905.5714561500001</v>
      </c>
      <c r="E1255" s="1">
        <v>67.890199999999993</v>
      </c>
      <c r="F1255" s="1">
        <v>36.995100000000001</v>
      </c>
      <c r="G1255" s="1">
        <v>5.0425000000000004</v>
      </c>
      <c r="H1255" s="1">
        <v>5.0658000000000003</v>
      </c>
      <c r="I1255" s="1">
        <v>70.452299999999994</v>
      </c>
      <c r="J1255" s="1">
        <f t="shared" si="133"/>
        <v>67.872472399999992</v>
      </c>
      <c r="K1255" s="1">
        <v>8.5709699999999884</v>
      </c>
      <c r="L1255" s="1">
        <f t="shared" si="134"/>
        <v>29.759597528089884</v>
      </c>
      <c r="M1255" s="1">
        <v>-244.70689999999999</v>
      </c>
      <c r="N1255" s="1">
        <v>-31.519649999999999</v>
      </c>
    </row>
    <row r="1256" spans="1:14" x14ac:dyDescent="0.4">
      <c r="B1256" s="1">
        <v>63.399999999999899</v>
      </c>
      <c r="C1256" s="1" t="s">
        <v>1267</v>
      </c>
      <c r="D1256" s="3">
        <f t="shared" si="138"/>
        <v>1905.5000276000003</v>
      </c>
      <c r="E1256" s="1">
        <v>182.1087</v>
      </c>
      <c r="F1256" s="1">
        <v>32.8825</v>
      </c>
      <c r="G1256" s="1">
        <v>54.810499999999998</v>
      </c>
      <c r="H1256" s="1">
        <v>21.9285</v>
      </c>
      <c r="I1256" s="1">
        <v>230.7783</v>
      </c>
      <c r="J1256" s="1">
        <f t="shared" si="133"/>
        <v>223.85816940000001</v>
      </c>
      <c r="K1256" s="1">
        <v>8.2271599999999978</v>
      </c>
      <c r="L1256" s="1">
        <f t="shared" si="134"/>
        <v>56.345683483146061</v>
      </c>
      <c r="M1256" s="1">
        <v>-242.86978999999999</v>
      </c>
      <c r="N1256" s="1">
        <v>-31.32236</v>
      </c>
    </row>
    <row r="1257" spans="1:14" x14ac:dyDescent="0.4">
      <c r="B1257" s="1">
        <v>63.45</v>
      </c>
      <c r="C1257" s="1" t="s">
        <v>1268</v>
      </c>
      <c r="D1257" s="3">
        <f t="shared" si="138"/>
        <v>1905.42859905</v>
      </c>
      <c r="E1257" s="1">
        <v>80.031300000000002</v>
      </c>
      <c r="F1257" s="1">
        <v>42.0441</v>
      </c>
      <c r="G1257" s="1">
        <v>13.045</v>
      </c>
      <c r="H1257" s="1">
        <v>8.9514999999999993</v>
      </c>
      <c r="I1257" s="1">
        <v>78.049199999999999</v>
      </c>
      <c r="J1257" s="1">
        <f t="shared" si="133"/>
        <v>75.008010600000006</v>
      </c>
      <c r="K1257" s="1">
        <v>8.4588799999999935</v>
      </c>
      <c r="L1257" s="1">
        <f t="shared" si="134"/>
        <v>37.891968202247192</v>
      </c>
      <c r="M1257" s="1">
        <v>-240.69533000000001</v>
      </c>
      <c r="N1257" s="1">
        <v>-30.967970000000001</v>
      </c>
    </row>
    <row r="1258" spans="1:14" x14ac:dyDescent="0.4">
      <c r="B1258" s="1">
        <v>63.5</v>
      </c>
      <c r="C1258" s="1" t="s">
        <v>1269</v>
      </c>
      <c r="D1258" s="3">
        <f t="shared" si="138"/>
        <v>1905.3571705000002</v>
      </c>
      <c r="E1258" s="1">
        <v>149.2782</v>
      </c>
      <c r="F1258" s="1">
        <v>20.4712</v>
      </c>
      <c r="G1258" s="1">
        <v>11.9499</v>
      </c>
      <c r="H1258" s="1">
        <v>19.504999999999999</v>
      </c>
      <c r="I1258" s="1">
        <v>133.09829999999999</v>
      </c>
      <c r="J1258" s="1">
        <f t="shared" si="133"/>
        <v>127.4257284</v>
      </c>
      <c r="K1258" s="1">
        <v>7.4502999999999986</v>
      </c>
      <c r="L1258" s="1">
        <f t="shared" si="134"/>
        <v>77.690712134831458</v>
      </c>
      <c r="M1258" s="1">
        <v>-240.27203</v>
      </c>
      <c r="N1258" s="1">
        <v>-30.86336</v>
      </c>
    </row>
    <row r="1259" spans="1:14" x14ac:dyDescent="0.4">
      <c r="B1259" s="1">
        <v>63.55</v>
      </c>
      <c r="C1259" s="1" t="s">
        <v>1270</v>
      </c>
      <c r="D1259" s="3">
        <f t="shared" si="138"/>
        <v>1905.2857419500001</v>
      </c>
      <c r="E1259" s="1">
        <v>51.667700000000004</v>
      </c>
      <c r="F1259" s="1">
        <v>32.113900000000001</v>
      </c>
      <c r="G1259" s="1">
        <v>5.7085999999999997</v>
      </c>
      <c r="H1259" s="1">
        <v>8.1298999999999992</v>
      </c>
      <c r="I1259" s="1">
        <v>66.335099999999997</v>
      </c>
      <c r="J1259" s="1">
        <f t="shared" si="133"/>
        <v>64.371727399999997</v>
      </c>
      <c r="K1259" s="1">
        <v>7.7090900000000033</v>
      </c>
      <c r="L1259" s="1">
        <f t="shared" si="134"/>
        <v>15.5038082022472</v>
      </c>
      <c r="M1259" s="1">
        <v>-240.83489</v>
      </c>
      <c r="N1259" s="1">
        <v>-31.06795</v>
      </c>
    </row>
    <row r="1260" spans="1:14" x14ac:dyDescent="0.4">
      <c r="B1260" s="1">
        <v>63.6</v>
      </c>
      <c r="C1260" s="1" t="s">
        <v>1271</v>
      </c>
      <c r="D1260" s="3">
        <f t="shared" si="138"/>
        <v>1905.2143134</v>
      </c>
      <c r="E1260" s="1">
        <v>121.26519999999999</v>
      </c>
      <c r="F1260" s="1">
        <v>23.4589</v>
      </c>
      <c r="G1260" s="1">
        <v>17.245799999999999</v>
      </c>
      <c r="H1260" s="1">
        <v>18.883600000000001</v>
      </c>
      <c r="I1260" s="1">
        <v>249.31569999999999</v>
      </c>
      <c r="J1260" s="1">
        <f t="shared" si="133"/>
        <v>244.70762239999999</v>
      </c>
      <c r="K1260" s="1">
        <v>7.0484299999999962</v>
      </c>
      <c r="L1260" s="1">
        <f t="shared" si="134"/>
        <v>-16.210992359550573</v>
      </c>
      <c r="M1260" s="1">
        <v>-240.69425000000001</v>
      </c>
      <c r="N1260" s="1">
        <v>-31.116240000000001</v>
      </c>
    </row>
    <row r="1261" spans="1:14" x14ac:dyDescent="0.4">
      <c r="B1261" s="1">
        <v>63.65</v>
      </c>
      <c r="C1261" s="1" t="s">
        <v>1272</v>
      </c>
      <c r="D1261" s="3">
        <f t="shared" si="138"/>
        <v>1905.14288485</v>
      </c>
      <c r="E1261" s="1">
        <v>78.733900000000006</v>
      </c>
      <c r="F1261" s="1">
        <v>64.505300000000005</v>
      </c>
      <c r="G1261" s="1">
        <v>8.6938999999999993</v>
      </c>
      <c r="H1261" s="1">
        <v>18.8169</v>
      </c>
      <c r="I1261" s="1">
        <v>179.42150000000001</v>
      </c>
      <c r="J1261" s="1">
        <f t="shared" si="133"/>
        <v>176.4296118</v>
      </c>
      <c r="K1261" s="1">
        <v>6.6348500000000001</v>
      </c>
      <c r="L1261" s="1">
        <f t="shared" si="134"/>
        <v>-20.383859438202236</v>
      </c>
      <c r="M1261" s="1">
        <v>-241.75241</v>
      </c>
      <c r="N1261" s="1">
        <v>-31.252120000000001</v>
      </c>
    </row>
    <row r="1262" spans="1:14" x14ac:dyDescent="0.4">
      <c r="B1262" s="1">
        <v>63.7</v>
      </c>
      <c r="C1262" s="1" t="s">
        <v>1273</v>
      </c>
      <c r="D1262" s="3">
        <f t="shared" si="138"/>
        <v>1905.0714563000001</v>
      </c>
      <c r="E1262" s="1">
        <v>89.361099999999993</v>
      </c>
      <c r="F1262" s="1">
        <v>33.155200000000001</v>
      </c>
      <c r="G1262" s="1">
        <v>17.090599999999998</v>
      </c>
      <c r="H1262" s="1">
        <v>19.0639</v>
      </c>
      <c r="I1262" s="1">
        <v>215.1131</v>
      </c>
      <c r="J1262" s="1">
        <f t="shared" si="133"/>
        <v>211.71737820000001</v>
      </c>
      <c r="K1262" s="1">
        <v>7.7087099999999964</v>
      </c>
      <c r="L1262" s="1">
        <f t="shared" si="134"/>
        <v>-29.581247303370802</v>
      </c>
      <c r="M1262" s="1">
        <v>-241.20638</v>
      </c>
      <c r="N1262" s="1">
        <v>-31.178460000000001</v>
      </c>
    </row>
    <row r="1263" spans="1:14" x14ac:dyDescent="0.4">
      <c r="A1263" s="1">
        <v>1905</v>
      </c>
      <c r="B1263" s="1">
        <v>63.75</v>
      </c>
      <c r="C1263" s="1" t="s">
        <v>1274</v>
      </c>
      <c r="D1263" s="3">
        <f t="shared" si="138"/>
        <v>1905.0000277500001</v>
      </c>
      <c r="E1263" s="1">
        <v>116.57129999999999</v>
      </c>
      <c r="F1263" s="1">
        <v>137.11160000000001</v>
      </c>
      <c r="G1263" s="1">
        <v>93.992599999999996</v>
      </c>
      <c r="H1263" s="1">
        <v>13.258900000000001</v>
      </c>
      <c r="I1263" s="1">
        <v>171.3724</v>
      </c>
      <c r="J1263" s="1">
        <f t="shared" si="133"/>
        <v>166.94269059999999</v>
      </c>
      <c r="K1263" s="1">
        <v>8.2356699999999989</v>
      </c>
      <c r="L1263" s="1">
        <f t="shared" si="134"/>
        <v>22.783271573033701</v>
      </c>
      <c r="M1263" s="1">
        <v>-237.86586</v>
      </c>
      <c r="N1263" s="1">
        <v>-30.916429999999998</v>
      </c>
    </row>
    <row r="1264" spans="1:14" x14ac:dyDescent="0.4">
      <c r="B1264" s="1">
        <v>63.8</v>
      </c>
      <c r="C1264" s="1" t="s">
        <v>1275</v>
      </c>
      <c r="D1264" s="3">
        <f t="shared" si="138"/>
        <v>1904.9285992</v>
      </c>
      <c r="E1264" s="1">
        <v>27.045400000000001</v>
      </c>
      <c r="F1264" s="1">
        <v>17.0838</v>
      </c>
      <c r="G1264" s="1">
        <v>5.0628000000000002</v>
      </c>
      <c r="H1264" s="1">
        <v>11.128500000000001</v>
      </c>
      <c r="I1264" s="1">
        <v>126.9575</v>
      </c>
      <c r="J1264" s="1">
        <f t="shared" si="133"/>
        <v>125.92977479999999</v>
      </c>
      <c r="K1264" s="1">
        <v>8.2645500000000141</v>
      </c>
      <c r="L1264" s="1">
        <f t="shared" si="134"/>
        <v>-43.701664494382015</v>
      </c>
      <c r="M1264" s="1">
        <v>-235.74463</v>
      </c>
      <c r="N1264" s="1">
        <v>-30.813639999999999</v>
      </c>
    </row>
    <row r="1265" spans="2:14" x14ac:dyDescent="0.4">
      <c r="B1265" s="1">
        <v>63.85</v>
      </c>
      <c r="C1265" s="1" t="s">
        <v>1276</v>
      </c>
      <c r="D1265" s="3">
        <f t="shared" si="138"/>
        <v>1904.8571706500002</v>
      </c>
      <c r="E1265" s="1">
        <v>106.29949999999999</v>
      </c>
      <c r="F1265" s="1">
        <v>165.75210000000001</v>
      </c>
      <c r="G1265" s="1">
        <v>15.5121</v>
      </c>
      <c r="H1265" s="1">
        <v>14.620799999999999</v>
      </c>
      <c r="I1265" s="1">
        <v>44.590499999999999</v>
      </c>
      <c r="J1265" s="1">
        <f t="shared" si="133"/>
        <v>40.551119</v>
      </c>
      <c r="K1265" s="1">
        <v>8.2213000000000136</v>
      </c>
      <c r="L1265" s="1">
        <f t="shared" si="134"/>
        <v>83.517972471910099</v>
      </c>
      <c r="M1265" s="1">
        <v>-233.27296000000001</v>
      </c>
      <c r="N1265" s="1">
        <v>-30.516349999999999</v>
      </c>
    </row>
    <row r="1266" spans="2:14" x14ac:dyDescent="0.4">
      <c r="B1266" s="1">
        <v>63.9</v>
      </c>
      <c r="C1266" s="1" t="s">
        <v>1277</v>
      </c>
      <c r="D1266" s="3">
        <f t="shared" si="138"/>
        <v>1904.7857421000001</v>
      </c>
      <c r="E1266" s="1">
        <v>227.0386</v>
      </c>
      <c r="F1266" s="1">
        <v>20.595700000000001</v>
      </c>
      <c r="G1266" s="1">
        <v>26.069900000000001</v>
      </c>
      <c r="H1266" s="1">
        <v>30.459299999999999</v>
      </c>
      <c r="I1266" s="1">
        <v>201.8194</v>
      </c>
      <c r="J1266" s="1">
        <f t="shared" si="133"/>
        <v>193.19193319999999</v>
      </c>
      <c r="K1266" s="1">
        <v>9.4655799999999886</v>
      </c>
      <c r="L1266" s="1">
        <f t="shared" si="134"/>
        <v>118.50380606741574</v>
      </c>
      <c r="M1266" s="1">
        <v>-237.10458</v>
      </c>
      <c r="N1266" s="1">
        <v>-30.905280000000001</v>
      </c>
    </row>
    <row r="1267" spans="2:14" x14ac:dyDescent="0.4">
      <c r="B1267" s="1">
        <v>63.95</v>
      </c>
      <c r="C1267" s="1" t="s">
        <v>1278</v>
      </c>
      <c r="D1267" s="3">
        <f t="shared" si="138"/>
        <v>1904.71431355</v>
      </c>
      <c r="E1267" s="1">
        <v>109.0731</v>
      </c>
      <c r="F1267" s="1">
        <v>40.547899999999998</v>
      </c>
      <c r="G1267" s="1">
        <v>11.114699999999999</v>
      </c>
      <c r="H1267" s="1">
        <v>10.4848</v>
      </c>
      <c r="I1267" s="1">
        <v>45.598999999999997</v>
      </c>
      <c r="J1267" s="1">
        <f t="shared" si="133"/>
        <v>41.454222199999997</v>
      </c>
      <c r="K1267" s="1">
        <v>10.764489999999995</v>
      </c>
      <c r="L1267" s="1">
        <f t="shared" si="134"/>
        <v>85.784211123595497</v>
      </c>
      <c r="M1267" s="1">
        <v>-238.50943000000001</v>
      </c>
      <c r="N1267" s="1">
        <v>-30.946359999999999</v>
      </c>
    </row>
    <row r="1268" spans="2:14" x14ac:dyDescent="0.4">
      <c r="B1268" s="1">
        <v>64</v>
      </c>
      <c r="C1268" s="1" t="s">
        <v>1279</v>
      </c>
      <c r="D1268" s="3">
        <f t="shared" si="138"/>
        <v>1904.642885</v>
      </c>
      <c r="E1268" s="1">
        <v>65.554500000000004</v>
      </c>
      <c r="F1268" s="1">
        <v>14.195499999999999</v>
      </c>
      <c r="G1268" s="1">
        <v>21.053899999999999</v>
      </c>
      <c r="H1268" s="1">
        <v>13.9574</v>
      </c>
      <c r="I1268" s="1">
        <v>171.56559999999999</v>
      </c>
      <c r="J1268" s="1">
        <f t="shared" si="133"/>
        <v>169.07452899999998</v>
      </c>
      <c r="K1268" s="1">
        <v>10.857839999999982</v>
      </c>
      <c r="L1268" s="1">
        <f t="shared" si="134"/>
        <v>-29.431190449438191</v>
      </c>
      <c r="M1268" s="1">
        <v>-233.4495</v>
      </c>
      <c r="N1268" s="1">
        <v>-30.34404</v>
      </c>
    </row>
    <row r="1269" spans="2:14" x14ac:dyDescent="0.4">
      <c r="B1269" s="1">
        <v>64.05</v>
      </c>
      <c r="C1269" s="1" t="s">
        <v>1280</v>
      </c>
      <c r="D1269" s="3">
        <f t="shared" si="138"/>
        <v>1904.5714564500001</v>
      </c>
      <c r="E1269" s="1">
        <v>218.34180000000001</v>
      </c>
      <c r="F1269" s="1">
        <v>105.5543</v>
      </c>
      <c r="G1269" s="1">
        <v>17.749099999999999</v>
      </c>
      <c r="H1269" s="1">
        <v>5.5259999999999998</v>
      </c>
      <c r="I1269" s="1">
        <v>50.537300000000002</v>
      </c>
      <c r="J1269" s="1">
        <f t="shared" si="133"/>
        <v>42.240311599999998</v>
      </c>
      <c r="K1269" s="1">
        <v>10.137660000000011</v>
      </c>
      <c r="L1269" s="1">
        <f t="shared" si="134"/>
        <v>194.61128786516855</v>
      </c>
      <c r="M1269" s="1">
        <v>-221.26003</v>
      </c>
      <c r="N1269" s="1">
        <v>-28.89827</v>
      </c>
    </row>
    <row r="1270" spans="2:14" x14ac:dyDescent="0.4">
      <c r="B1270" s="1">
        <v>64.099999999999994</v>
      </c>
      <c r="C1270" s="1" t="s">
        <v>1281</v>
      </c>
      <c r="D1270" s="3">
        <f t="shared" si="138"/>
        <v>1904.5000279000001</v>
      </c>
      <c r="E1270" s="1">
        <v>41.626300000000001</v>
      </c>
      <c r="F1270" s="1">
        <v>13.4979</v>
      </c>
      <c r="G1270" s="1">
        <v>9.3232999999999997</v>
      </c>
      <c r="H1270" s="1">
        <v>6.5205000000000002</v>
      </c>
      <c r="I1270" s="1">
        <v>90.001599999999996</v>
      </c>
      <c r="J1270" s="1">
        <f t="shared" si="133"/>
        <v>88.419800600000002</v>
      </c>
      <c r="K1270" s="1">
        <v>9.0614499999999794</v>
      </c>
      <c r="L1270" s="1">
        <f t="shared" si="134"/>
        <v>-8.047745280898873</v>
      </c>
      <c r="M1270" s="1">
        <v>-219.49350999999999</v>
      </c>
      <c r="N1270" s="1">
        <v>-28.56053</v>
      </c>
    </row>
    <row r="1271" spans="2:14" x14ac:dyDescent="0.4">
      <c r="B1271" s="1">
        <v>64.150000000000006</v>
      </c>
      <c r="C1271" s="1" t="s">
        <v>1282</v>
      </c>
      <c r="D1271" s="3">
        <f t="shared" si="138"/>
        <v>1904.42859935</v>
      </c>
      <c r="E1271" s="1">
        <v>42.650500000000001</v>
      </c>
      <c r="F1271" s="1">
        <v>76.583399999999997</v>
      </c>
      <c r="G1271" s="1">
        <v>15.2301</v>
      </c>
      <c r="H1271" s="1">
        <v>4.7977999999999996</v>
      </c>
      <c r="I1271" s="1">
        <v>74.018600000000006</v>
      </c>
      <c r="J1271" s="1">
        <f t="shared" si="133"/>
        <v>72.397881000000012</v>
      </c>
      <c r="K1271" s="1">
        <v>9.302819999999997</v>
      </c>
      <c r="L1271" s="1">
        <f t="shared" si="134"/>
        <v>1.9775331460674082</v>
      </c>
      <c r="M1271" s="1">
        <v>-209.71627000000001</v>
      </c>
      <c r="N1271" s="1">
        <v>-27.559560000000001</v>
      </c>
    </row>
    <row r="1272" spans="2:14" x14ac:dyDescent="0.4">
      <c r="B1272" s="1">
        <v>64.2</v>
      </c>
      <c r="C1272" s="1" t="s">
        <v>1283</v>
      </c>
      <c r="D1272" s="3">
        <f t="shared" si="138"/>
        <v>1904.3571708000002</v>
      </c>
      <c r="E1272" s="1">
        <v>37.878599999999999</v>
      </c>
      <c r="F1272" s="1">
        <v>24.405100000000001</v>
      </c>
      <c r="G1272" s="1">
        <v>10.7065</v>
      </c>
      <c r="H1272" s="1">
        <v>8.1275999999999993</v>
      </c>
      <c r="I1272" s="1">
        <v>125.89700000000001</v>
      </c>
      <c r="J1272" s="1">
        <f t="shared" si="133"/>
        <v>124.45761320000001</v>
      </c>
      <c r="K1272" s="1">
        <v>9.9261300000000006</v>
      </c>
      <c r="L1272" s="1">
        <f t="shared" si="134"/>
        <v>-32.04140741573034</v>
      </c>
      <c r="M1272" s="1">
        <v>-208.98352</v>
      </c>
      <c r="N1272" s="1">
        <v>-27.351150000000001</v>
      </c>
    </row>
    <row r="1273" spans="2:14" x14ac:dyDescent="0.4">
      <c r="B1273" s="1">
        <v>64.25</v>
      </c>
      <c r="C1273" s="1" t="s">
        <v>1284</v>
      </c>
      <c r="D1273" s="3">
        <f t="shared" si="138"/>
        <v>1904.2857422500001</v>
      </c>
      <c r="E1273" s="1">
        <v>24.986599999999999</v>
      </c>
      <c r="F1273" s="1">
        <v>94.780100000000004</v>
      </c>
      <c r="G1273" s="1">
        <v>10.158300000000001</v>
      </c>
      <c r="H1273" s="1">
        <v>7.9119000000000002</v>
      </c>
      <c r="I1273" s="1">
        <v>104.5719</v>
      </c>
      <c r="J1273" s="1">
        <f t="shared" si="133"/>
        <v>103.62240919999999</v>
      </c>
      <c r="K1273" s="1">
        <v>8.9907300000000134</v>
      </c>
      <c r="L1273" s="1">
        <f t="shared" si="134"/>
        <v>-33.228236629213484</v>
      </c>
      <c r="M1273" s="1">
        <v>-210.55269999999999</v>
      </c>
      <c r="N1273" s="1">
        <v>-27.565270000000002</v>
      </c>
    </row>
    <row r="1274" spans="2:14" x14ac:dyDescent="0.4">
      <c r="B1274" s="1">
        <v>64.3</v>
      </c>
      <c r="C1274" s="1" t="s">
        <v>1285</v>
      </c>
      <c r="D1274" s="3">
        <f t="shared" si="138"/>
        <v>1904.2143137</v>
      </c>
      <c r="E1274" s="1">
        <v>108.65349999999999</v>
      </c>
      <c r="F1274" s="1">
        <v>11.0176</v>
      </c>
      <c r="G1274" s="1">
        <v>11.586600000000001</v>
      </c>
      <c r="H1274" s="1">
        <v>23.8597</v>
      </c>
      <c r="I1274" s="1">
        <v>175.43029999999999</v>
      </c>
      <c r="J1274" s="1">
        <f t="shared" si="133"/>
        <v>171.301467</v>
      </c>
      <c r="K1274" s="1">
        <v>10.760210000000001</v>
      </c>
      <c r="L1274" s="1">
        <f t="shared" si="134"/>
        <v>12.416720786516848</v>
      </c>
      <c r="M1274" s="1">
        <v>-212.2535</v>
      </c>
      <c r="N1274" s="1">
        <v>-27.508970000000001</v>
      </c>
    </row>
    <row r="1275" spans="2:14" x14ac:dyDescent="0.4">
      <c r="B1275" s="1">
        <v>64.349999999999994</v>
      </c>
      <c r="C1275" s="1" t="s">
        <v>1286</v>
      </c>
      <c r="D1275" s="3">
        <f t="shared" si="138"/>
        <v>1904.14288515</v>
      </c>
      <c r="E1275" s="1">
        <v>186.32069999999999</v>
      </c>
      <c r="F1275" s="1">
        <v>45.838299999999997</v>
      </c>
      <c r="G1275" s="1">
        <v>13.4285</v>
      </c>
      <c r="H1275" s="1">
        <v>31.412500000000001</v>
      </c>
      <c r="I1275" s="1">
        <v>79.1233</v>
      </c>
      <c r="J1275" s="1">
        <f t="shared" si="133"/>
        <v>72.043113399999996</v>
      </c>
      <c r="K1275" s="1">
        <v>9.8256800000000055</v>
      </c>
      <c r="L1275" s="1">
        <f t="shared" si="134"/>
        <v>145.84704078651686</v>
      </c>
      <c r="M1275" s="1">
        <v>-215.94542999999999</v>
      </c>
      <c r="N1275" s="1">
        <v>-27.738029999999998</v>
      </c>
    </row>
    <row r="1276" spans="2:14" x14ac:dyDescent="0.4">
      <c r="B1276" s="1">
        <v>64.400000000000006</v>
      </c>
      <c r="C1276" s="1" t="s">
        <v>1287</v>
      </c>
      <c r="D1276" s="3">
        <f t="shared" si="138"/>
        <v>1904.0714566000001</v>
      </c>
      <c r="E1276" s="1">
        <v>87.152199999999993</v>
      </c>
      <c r="F1276" s="1">
        <v>13.773</v>
      </c>
      <c r="G1276" s="1">
        <v>5.7622999999999998</v>
      </c>
      <c r="H1276" s="1">
        <v>19.5489</v>
      </c>
      <c r="I1276" s="1">
        <v>104.05840000000001</v>
      </c>
      <c r="J1276" s="1">
        <f t="shared" si="133"/>
        <v>100.74661640000001</v>
      </c>
      <c r="K1276" s="1">
        <v>9.9694600000000264</v>
      </c>
      <c r="L1276" s="1">
        <f t="shared" si="134"/>
        <v>30.552977303370774</v>
      </c>
      <c r="M1276" s="1">
        <v>-218.97630000000001</v>
      </c>
      <c r="N1276" s="1">
        <v>-28.089089999999999</v>
      </c>
    </row>
    <row r="1277" spans="2:14" x14ac:dyDescent="0.4">
      <c r="B1277" s="1">
        <v>64.45</v>
      </c>
      <c r="C1277" s="1" t="s">
        <v>1288</v>
      </c>
      <c r="D1277" s="3">
        <f t="shared" si="138"/>
        <v>1904.0000280500001</v>
      </c>
      <c r="E1277" s="1">
        <v>105.6728</v>
      </c>
      <c r="F1277" s="1">
        <v>85.914199999999994</v>
      </c>
      <c r="G1277" s="1">
        <v>30.0517</v>
      </c>
      <c r="H1277" s="1">
        <v>12.0846</v>
      </c>
      <c r="I1277" s="1">
        <v>110.5423</v>
      </c>
      <c r="J1277" s="1">
        <f t="shared" si="133"/>
        <v>106.5267336</v>
      </c>
      <c r="K1277" s="1">
        <v>7.8182600000000093</v>
      </c>
      <c r="L1277" s="1">
        <f t="shared" si="134"/>
        <v>45.826320449438199</v>
      </c>
      <c r="M1277" s="1">
        <v>-220.94826</v>
      </c>
      <c r="N1277" s="1">
        <v>-28.254650000000002</v>
      </c>
    </row>
    <row r="1278" spans="2:14" x14ac:dyDescent="0.4">
      <c r="B1278" s="1">
        <v>64.5</v>
      </c>
      <c r="C1278" s="1" t="s">
        <v>1289</v>
      </c>
      <c r="D1278" s="3">
        <f t="shared" si="138"/>
        <v>1903.9285995</v>
      </c>
      <c r="E1278" s="1">
        <v>111.04049999999999</v>
      </c>
      <c r="F1278" s="1">
        <v>13.434699999999999</v>
      </c>
      <c r="G1278" s="1">
        <v>13.4169</v>
      </c>
      <c r="H1278" s="1">
        <v>12.469099999999999</v>
      </c>
      <c r="I1278" s="1">
        <v>124.89749999999999</v>
      </c>
      <c r="J1278" s="1">
        <f t="shared" si="133"/>
        <v>120.677961</v>
      </c>
      <c r="K1278" s="1">
        <v>5.9588099999999997</v>
      </c>
      <c r="L1278" s="1">
        <f t="shared" si="134"/>
        <v>43.243892696629217</v>
      </c>
      <c r="M1278" s="1">
        <v>-221.87318999999999</v>
      </c>
      <c r="N1278" s="1">
        <v>-28.44436</v>
      </c>
    </row>
    <row r="1279" spans="2:14" x14ac:dyDescent="0.4">
      <c r="B1279" s="1">
        <v>64.550000000000097</v>
      </c>
      <c r="C1279" s="1" t="s">
        <v>1290</v>
      </c>
      <c r="D1279" s="3">
        <f t="shared" si="138"/>
        <v>1903.85717095</v>
      </c>
      <c r="E1279" s="1">
        <v>50.861400000000003</v>
      </c>
      <c r="F1279" s="1">
        <v>42.680199999999999</v>
      </c>
      <c r="G1279" s="1">
        <v>10.708</v>
      </c>
      <c r="H1279" s="1">
        <v>4.5401999999999996</v>
      </c>
      <c r="I1279" s="1">
        <v>67.004300000000001</v>
      </c>
      <c r="J1279" s="1">
        <f t="shared" si="133"/>
        <v>65.071566799999999</v>
      </c>
      <c r="K1279" s="1">
        <v>5.7364199999999812</v>
      </c>
      <c r="L1279" s="1">
        <f t="shared" si="134"/>
        <v>14.304340000000003</v>
      </c>
      <c r="M1279" s="1">
        <v>-223.68036000000001</v>
      </c>
      <c r="N1279" s="1">
        <v>-28.59581</v>
      </c>
    </row>
    <row r="1280" spans="2:14" x14ac:dyDescent="0.4">
      <c r="B1280" s="1">
        <v>64.600000000000094</v>
      </c>
      <c r="C1280" s="1" t="s">
        <v>1291</v>
      </c>
      <c r="D1280" s="3">
        <f t="shared" si="138"/>
        <v>1903.7857423999999</v>
      </c>
      <c r="E1280" s="1">
        <v>180.4752</v>
      </c>
      <c r="F1280" s="1">
        <v>24.6938</v>
      </c>
      <c r="G1280" s="1">
        <v>13.0823</v>
      </c>
      <c r="H1280" s="1">
        <v>27.9986</v>
      </c>
      <c r="I1280" s="1">
        <v>150.4443</v>
      </c>
      <c r="J1280" s="1">
        <f t="shared" si="133"/>
        <v>143.5862424</v>
      </c>
      <c r="K1280" s="1">
        <v>5.088940000000008</v>
      </c>
      <c r="L1280" s="1">
        <f t="shared" si="134"/>
        <v>99.808771685393253</v>
      </c>
      <c r="M1280" s="1">
        <v>-224.86331999999999</v>
      </c>
      <c r="N1280" s="1">
        <v>-29.1188</v>
      </c>
    </row>
    <row r="1281" spans="2:14" x14ac:dyDescent="0.4">
      <c r="B1281" s="1">
        <v>64.650000000000105</v>
      </c>
      <c r="C1281" s="1" t="s">
        <v>1292</v>
      </c>
      <c r="D1281" s="3">
        <f t="shared" si="138"/>
        <v>1903.7143138499998</v>
      </c>
      <c r="E1281" s="1">
        <v>374.23570000000001</v>
      </c>
      <c r="F1281" s="1">
        <v>53.250300000000003</v>
      </c>
      <c r="G1281" s="1">
        <v>39.754100000000001</v>
      </c>
      <c r="H1281" s="1">
        <v>31.031500000000001</v>
      </c>
      <c r="I1281" s="1">
        <v>64.190200000000004</v>
      </c>
      <c r="J1281" s="1">
        <f t="shared" si="133"/>
        <v>49.969243400000003</v>
      </c>
      <c r="K1281" s="1">
        <v>5.6816900000000032</v>
      </c>
      <c r="L1281" s="1">
        <f t="shared" si="134"/>
        <v>346.16309134831459</v>
      </c>
      <c r="M1281" s="1">
        <v>-230.43123</v>
      </c>
      <c r="N1281" s="1">
        <v>-29.507020000000001</v>
      </c>
    </row>
    <row r="1282" spans="2:14" x14ac:dyDescent="0.4">
      <c r="B1282" s="1">
        <v>64.700000000000102</v>
      </c>
      <c r="C1282" s="1" t="s">
        <v>1293</v>
      </c>
      <c r="D1282" s="3">
        <f t="shared" si="138"/>
        <v>1903.6428853</v>
      </c>
      <c r="E1282" s="1">
        <v>82.664699999999996</v>
      </c>
      <c r="F1282" s="1">
        <v>14.8383</v>
      </c>
      <c r="G1282" s="1">
        <v>12.899800000000001</v>
      </c>
      <c r="H1282" s="1">
        <v>25.6843</v>
      </c>
      <c r="I1282" s="1">
        <v>130.02780000000001</v>
      </c>
      <c r="J1282" s="1">
        <f t="shared" si="133"/>
        <v>126.88654140000001</v>
      </c>
      <c r="K1282" s="1">
        <v>5.086119999999994</v>
      </c>
      <c r="L1282" s="1">
        <f t="shared" si="134"/>
        <v>11.380126179775274</v>
      </c>
      <c r="M1282" s="1">
        <v>-236.53931</v>
      </c>
      <c r="N1282" s="1">
        <v>-30.513470000000002</v>
      </c>
    </row>
    <row r="1283" spans="2:14" x14ac:dyDescent="0.4">
      <c r="B1283" s="1">
        <v>64.750000000000099</v>
      </c>
      <c r="C1283" s="1" t="s">
        <v>1294</v>
      </c>
      <c r="D1283" s="3">
        <f t="shared" si="138"/>
        <v>1903.5714567499999</v>
      </c>
      <c r="E1283" s="1">
        <v>182.29830000000001</v>
      </c>
      <c r="F1283" s="1">
        <v>72.229900000000001</v>
      </c>
      <c r="G1283" s="1">
        <v>11.8874</v>
      </c>
      <c r="H1283" s="1">
        <v>28.382999999999999</v>
      </c>
      <c r="I1283" s="1">
        <v>67.308199999999999</v>
      </c>
      <c r="J1283" s="1">
        <f>I1283-0.038*E1283</f>
        <v>60.380864599999995</v>
      </c>
      <c r="K1283" s="1">
        <v>8.0870800000000145</v>
      </c>
      <c r="L1283" s="1">
        <f>E1283-(J1283/1.78)</f>
        <v>148.3764659550562</v>
      </c>
      <c r="M1283" s="1">
        <v>-248.08399</v>
      </c>
      <c r="N1283" s="1">
        <v>-31.93365</v>
      </c>
    </row>
    <row r="1284" spans="2:14" x14ac:dyDescent="0.4">
      <c r="B1284" s="1">
        <v>64.800000000000097</v>
      </c>
      <c r="C1284" s="1" t="s">
        <v>1295</v>
      </c>
      <c r="D1284" s="3">
        <f t="shared" si="138"/>
        <v>1903.5000281999999</v>
      </c>
      <c r="E1284" s="1">
        <v>223.82820000000001</v>
      </c>
      <c r="F1284" s="1">
        <v>24.2133</v>
      </c>
      <c r="G1284" s="1">
        <v>19.5397</v>
      </c>
      <c r="H1284" s="1">
        <v>39.092100000000002</v>
      </c>
      <c r="I1284" s="1">
        <v>123.2321</v>
      </c>
      <c r="J1284" s="1">
        <f>I1284-0.038*E1284</f>
        <v>114.72662840000001</v>
      </c>
      <c r="K1284" s="1">
        <v>5.6249300000000062</v>
      </c>
      <c r="L1284" s="1">
        <f>E1284-(J1284/1.78)</f>
        <v>159.37503797752811</v>
      </c>
      <c r="M1284" s="1">
        <v>-253.24429000000001</v>
      </c>
      <c r="N1284" s="1">
        <v>-32.431150000000002</v>
      </c>
    </row>
    <row r="1285" spans="2:14" x14ac:dyDescent="0.4">
      <c r="B1285" s="1">
        <v>64.850000000000094</v>
      </c>
      <c r="C1285" s="1" t="s">
        <v>1296</v>
      </c>
      <c r="D1285" s="3">
        <f t="shared" si="138"/>
        <v>1903.42859965</v>
      </c>
      <c r="E1285" s="1">
        <v>143.93379999999999</v>
      </c>
      <c r="F1285" s="1">
        <v>52.712400000000002</v>
      </c>
      <c r="G1285" s="1">
        <v>9.0794999999999995</v>
      </c>
      <c r="H1285" s="1">
        <v>31.052900000000001</v>
      </c>
      <c r="I1285" s="1">
        <v>69.973600000000005</v>
      </c>
      <c r="J1285" s="1">
        <f>I1285-0.038*E1285</f>
        <v>64.504115600000006</v>
      </c>
      <c r="K1285" s="1">
        <v>7.5684500000000128</v>
      </c>
      <c r="L1285" s="1">
        <f>E1285-(J1285/1.78)</f>
        <v>107.69553280898876</v>
      </c>
      <c r="M1285" s="1">
        <v>-257.72838000000002</v>
      </c>
      <c r="N1285" s="1">
        <v>-33.057600000000001</v>
      </c>
    </row>
    <row r="1286" spans="2:14" x14ac:dyDescent="0.4">
      <c r="B1286" s="1">
        <v>64.900000000000105</v>
      </c>
      <c r="C1286" s="1" t="s">
        <v>1297</v>
      </c>
      <c r="D1286" s="3">
        <f t="shared" si="138"/>
        <v>1903.3571711</v>
      </c>
      <c r="E1286" s="1">
        <v>326.74380000000002</v>
      </c>
      <c r="F1286" s="1">
        <v>37.005099999999999</v>
      </c>
      <c r="G1286" s="1">
        <v>38.243600000000001</v>
      </c>
      <c r="H1286" s="1">
        <v>71.719700000000003</v>
      </c>
      <c r="I1286" s="1">
        <v>158.86170000000001</v>
      </c>
      <c r="J1286" s="1">
        <f>I1286-0.038*E1286</f>
        <v>146.44543560000002</v>
      </c>
      <c r="K1286" s="1">
        <v>7.3852100000000007</v>
      </c>
      <c r="L1286" s="1">
        <f>E1286-(J1286/1.78)</f>
        <v>244.47108337078652</v>
      </c>
      <c r="M1286" s="1">
        <v>-254.95663999999999</v>
      </c>
      <c r="N1286" s="1">
        <v>-32.7346</v>
      </c>
    </row>
    <row r="1287" spans="2:14" x14ac:dyDescent="0.4">
      <c r="B1287" s="1">
        <v>64.950000000000102</v>
      </c>
      <c r="C1287" s="1" t="s">
        <v>1298</v>
      </c>
      <c r="D1287" s="3">
        <f t="shared" si="138"/>
        <v>1903.2857425499999</v>
      </c>
      <c r="E1287" s="1">
        <v>182.2432</v>
      </c>
      <c r="F1287" s="1">
        <v>23.38</v>
      </c>
      <c r="G1287" s="1">
        <v>30.075700000000001</v>
      </c>
      <c r="H1287" s="1">
        <v>18.0837</v>
      </c>
      <c r="I1287" s="1">
        <v>45.708100000000002</v>
      </c>
      <c r="J1287" s="1">
        <f>I1287-0.038*E1287</f>
        <v>38.782858400000002</v>
      </c>
      <c r="K1287" s="1">
        <v>6.2049100000000124</v>
      </c>
      <c r="L1287" s="1">
        <f>E1287-(J1287/1.78)</f>
        <v>160.45507730337079</v>
      </c>
      <c r="M1287" s="1">
        <v>-251.13517999999999</v>
      </c>
      <c r="N1287" s="1">
        <v>-32.327120000000001</v>
      </c>
    </row>
    <row r="1288" spans="2:14" x14ac:dyDescent="0.4">
      <c r="K1288" s="1">
        <v>6.7324199999999905</v>
      </c>
      <c r="M1288" s="1">
        <v>-245.52323000000001</v>
      </c>
      <c r="N1288" s="1">
        <v>-31.63983</v>
      </c>
    </row>
    <row r="1289" spans="2:14" x14ac:dyDescent="0.4">
      <c r="E1289" s="5">
        <f>MIN(E2:E1287)</f>
        <v>0.31169999999999998</v>
      </c>
      <c r="I1289" s="5">
        <f>MIN(I2:I1287)</f>
        <v>7.0686999999999998</v>
      </c>
      <c r="K1289" s="1">
        <v>6.9201600000000099</v>
      </c>
      <c r="M1289" s="1">
        <v>-239.01724999999999</v>
      </c>
      <c r="N1289" s="1">
        <v>-30.795159999999999</v>
      </c>
    </row>
    <row r="1290" spans="2:14" x14ac:dyDescent="0.4">
      <c r="E1290" s="5">
        <f>MAX(E2:E1287)</f>
        <v>962.44259999999997</v>
      </c>
      <c r="I1290" s="5">
        <f>MAX(I2:I1287)</f>
        <v>1582.7832000000001</v>
      </c>
      <c r="K1290" s="1">
        <v>7.4817800000000148</v>
      </c>
      <c r="M1290" s="1">
        <v>-236.25398999999999</v>
      </c>
      <c r="N1290" s="1">
        <v>-30.270600000000002</v>
      </c>
    </row>
    <row r="1291" spans="2:14" x14ac:dyDescent="0.4">
      <c r="E1291" s="5">
        <f>AVERAGE(E2:E1287)</f>
        <v>81.242070295489796</v>
      </c>
      <c r="I1291" s="5">
        <f>AVERAGE(I2:I1287)</f>
        <v>96.666101945525398</v>
      </c>
      <c r="K1291" s="1">
        <v>7.5954099999999869</v>
      </c>
      <c r="M1291" s="1">
        <v>-234.57973999999999</v>
      </c>
      <c r="N1291" s="1">
        <v>-30.195779999999999</v>
      </c>
    </row>
    <row r="1292" spans="2:14" x14ac:dyDescent="0.4">
      <c r="I1292" s="5">
        <f>STDEVA(I2:I1287)</f>
        <v>102.07053130976639</v>
      </c>
      <c r="K1292" s="1">
        <v>7.3440300000000036</v>
      </c>
      <c r="M1292" s="1">
        <v>-233.96367000000001</v>
      </c>
      <c r="N1292" s="1">
        <v>-30.026150000000001</v>
      </c>
    </row>
    <row r="1293" spans="2:14" x14ac:dyDescent="0.4">
      <c r="E1293" s="8">
        <f>AVERAGE(E2:E1287)</f>
        <v>81.242070295489796</v>
      </c>
      <c r="K1293" s="1">
        <v>5.9108100000000263</v>
      </c>
      <c r="M1293" s="1">
        <v>-233.47169</v>
      </c>
      <c r="N1293" s="1">
        <v>-30.100660000000001</v>
      </c>
    </row>
    <row r="1294" spans="2:14" x14ac:dyDescent="0.4">
      <c r="E1294" s="8">
        <f>STDEV(E2:E1287)</f>
        <v>94.646794157452362</v>
      </c>
      <c r="K1294" s="1">
        <v>6.9865000000000066</v>
      </c>
      <c r="M1294" s="1">
        <v>-230.77296999999999</v>
      </c>
      <c r="N1294" s="1">
        <v>-29.888010000000001</v>
      </c>
    </row>
    <row r="1295" spans="2:14" x14ac:dyDescent="0.4">
      <c r="K1295" s="1">
        <v>6.2455300000000022</v>
      </c>
      <c r="M1295" s="1">
        <v>-228.44797</v>
      </c>
      <c r="N1295" s="1">
        <v>-29.662700000000001</v>
      </c>
    </row>
    <row r="1296" spans="2:14" x14ac:dyDescent="0.4">
      <c r="K1296" s="1">
        <v>7.3335900000000152</v>
      </c>
    </row>
    <row r="1297" spans="11:11" x14ac:dyDescent="0.4">
      <c r="K1297" s="1">
        <v>8.3311100000000238</v>
      </c>
    </row>
    <row r="1298" spans="11:11" x14ac:dyDescent="0.4">
      <c r="K1298" s="1">
        <v>8.8536300000000097</v>
      </c>
    </row>
    <row r="1300" spans="11:11" x14ac:dyDescent="0.4">
      <c r="K1300" s="1">
        <v>4.4135591847826108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Dey</dc:creator>
  <cp:lastModifiedBy>Rahul Dey</cp:lastModifiedBy>
  <dcterms:created xsi:type="dcterms:W3CDTF">2023-11-21T03:00:08Z</dcterms:created>
  <dcterms:modified xsi:type="dcterms:W3CDTF">2023-11-21T03:01:24Z</dcterms:modified>
</cp:coreProperties>
</file>